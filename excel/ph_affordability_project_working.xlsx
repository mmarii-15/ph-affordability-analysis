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el/Desktop/ph-affordability-analysis/excel/"/>
    </mc:Choice>
  </mc:AlternateContent>
  <xr:revisionPtr revIDLastSave="0" documentId="13_ncr:1_{CF1FB265-93A9-2942-9CB8-35234146BD21}" xr6:coauthVersionLast="47" xr6:coauthVersionMax="47" xr10:uidLastSave="{00000000-0000-0000-0000-000000000000}"/>
  <bookViews>
    <workbookView xWindow="0" yWindow="640" windowWidth="29400" windowHeight="16900" firstSheet="2" activeTab="8" xr2:uid="{5435B5EA-466A-E24E-BC58-E99AC5F621DF}"/>
  </bookViews>
  <sheets>
    <sheet name="raw_fies" sheetId="1" r:id="rId1"/>
    <sheet name="clean_fies" sheetId="2" r:id="rId2"/>
    <sheet name="raw_ows_table2" sheetId="4" r:id="rId3"/>
    <sheet name="clean_ows_table" sheetId="5" r:id="rId4"/>
    <sheet name="region_lookup" sheetId="6" r:id="rId5"/>
    <sheet name="analysis_region_affordability_f" sheetId="9" r:id="rId6"/>
    <sheet name="analysis_region_affordability" sheetId="10" r:id="rId7"/>
    <sheet name="dashboard_data" sheetId="12" r:id="rId8"/>
    <sheet name="dashboard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B2" i="9"/>
  <c r="L2" i="9" s="1"/>
  <c r="C2" i="9"/>
  <c r="M2" i="9"/>
  <c r="U2" i="9"/>
  <c r="A3" i="9"/>
  <c r="B3" i="9"/>
  <c r="G3" i="9" s="1"/>
  <c r="C3" i="9"/>
  <c r="I3" i="9"/>
  <c r="A4" i="9"/>
  <c r="B4" i="9"/>
  <c r="F4" i="9" s="1"/>
  <c r="C4" i="9"/>
  <c r="I4" i="9"/>
  <c r="M4" i="9"/>
  <c r="U4" i="9"/>
  <c r="A5" i="9"/>
  <c r="B5" i="9"/>
  <c r="G5" i="9" s="1"/>
  <c r="C5" i="9"/>
  <c r="I5" i="9"/>
  <c r="J5" i="9" s="1"/>
  <c r="M5" i="9"/>
  <c r="U5" i="9"/>
  <c r="A6" i="9"/>
  <c r="B6" i="9"/>
  <c r="L6" i="9" s="1"/>
  <c r="C6" i="9"/>
  <c r="I6" i="9"/>
  <c r="M6" i="9"/>
  <c r="U6" i="9"/>
  <c r="A7" i="9"/>
  <c r="B7" i="9"/>
  <c r="G7" i="9" s="1"/>
  <c r="C7" i="9"/>
  <c r="I7" i="9"/>
  <c r="M7" i="9"/>
  <c r="U7" i="9"/>
  <c r="A8" i="9"/>
  <c r="B8" i="9"/>
  <c r="F8" i="9" s="1"/>
  <c r="C8" i="9"/>
  <c r="H8" i="9"/>
  <c r="I8" i="9"/>
  <c r="L8" i="9"/>
  <c r="M8" i="9"/>
  <c r="T8" i="9"/>
  <c r="V8" i="9" s="1"/>
  <c r="U8" i="9"/>
  <c r="A9" i="9"/>
  <c r="B9" i="9"/>
  <c r="G9" i="9" s="1"/>
  <c r="K9" i="9" s="1"/>
  <c r="C9" i="9"/>
  <c r="H9" i="9"/>
  <c r="I9" i="9"/>
  <c r="L9" i="9"/>
  <c r="M9" i="9"/>
  <c r="T9" i="9"/>
  <c r="V9" i="9" s="1"/>
  <c r="U9" i="9"/>
  <c r="A10" i="9"/>
  <c r="B10" i="9"/>
  <c r="F10" i="9" s="1"/>
  <c r="C10" i="9"/>
  <c r="I10" i="9"/>
  <c r="L10" i="9"/>
  <c r="M10" i="9"/>
  <c r="T10" i="9"/>
  <c r="V10" i="9" s="1"/>
  <c r="U10" i="9"/>
  <c r="A11" i="9"/>
  <c r="B11" i="9"/>
  <c r="G11" i="9" s="1"/>
  <c r="K11" i="9" s="1"/>
  <c r="C11" i="9"/>
  <c r="H11" i="9"/>
  <c r="I11" i="9"/>
  <c r="L11" i="9"/>
  <c r="M11" i="9"/>
  <c r="T11" i="9"/>
  <c r="V11" i="9" s="1"/>
  <c r="U11" i="9"/>
  <c r="A12" i="9"/>
  <c r="B12" i="9"/>
  <c r="F12" i="9" s="1"/>
  <c r="C12" i="9"/>
  <c r="I12" i="9"/>
  <c r="L12" i="9"/>
  <c r="M12" i="9"/>
  <c r="T12" i="9"/>
  <c r="V12" i="9" s="1"/>
  <c r="U12" i="9"/>
  <c r="A13" i="9"/>
  <c r="B13" i="9"/>
  <c r="G13" i="9" s="1"/>
  <c r="K13" i="9" s="1"/>
  <c r="C13" i="9"/>
  <c r="H13" i="9"/>
  <c r="I13" i="9"/>
  <c r="J13" i="9" s="1"/>
  <c r="L13" i="9"/>
  <c r="M13" i="9"/>
  <c r="T13" i="9"/>
  <c r="V13" i="9" s="1"/>
  <c r="U13" i="9"/>
  <c r="A14" i="9"/>
  <c r="B14" i="9"/>
  <c r="F14" i="9" s="1"/>
  <c r="C14" i="9"/>
  <c r="I14" i="9"/>
  <c r="L14" i="9"/>
  <c r="M14" i="9"/>
  <c r="T14" i="9"/>
  <c r="V14" i="9" s="1"/>
  <c r="U14" i="9"/>
  <c r="A15" i="9"/>
  <c r="B15" i="9"/>
  <c r="G15" i="9" s="1"/>
  <c r="K15" i="9" s="1"/>
  <c r="C15" i="9"/>
  <c r="H15" i="9"/>
  <c r="I15" i="9"/>
  <c r="J15" i="9" s="1"/>
  <c r="L15" i="9"/>
  <c r="M15" i="9"/>
  <c r="T15" i="9"/>
  <c r="V15" i="9" s="1"/>
  <c r="U15" i="9"/>
  <c r="A16" i="9"/>
  <c r="B16" i="9"/>
  <c r="F16" i="9" s="1"/>
  <c r="C16" i="9"/>
  <c r="I16" i="9"/>
  <c r="L16" i="9"/>
  <c r="M16" i="9"/>
  <c r="T16" i="9"/>
  <c r="V16" i="9" s="1"/>
  <c r="U16" i="9"/>
  <c r="A17" i="9"/>
  <c r="B17" i="9"/>
  <c r="G17" i="9" s="1"/>
  <c r="K17" i="9" s="1"/>
  <c r="C17" i="9"/>
  <c r="H17" i="9"/>
  <c r="I17" i="9"/>
  <c r="J17" i="9" s="1"/>
  <c r="L17" i="9"/>
  <c r="M17" i="9"/>
  <c r="T17" i="9"/>
  <c r="V17" i="9" s="1"/>
  <c r="U17" i="9"/>
  <c r="A18" i="9"/>
  <c r="B18" i="9"/>
  <c r="F18" i="9" s="1"/>
  <c r="C18" i="9"/>
  <c r="I18" i="9"/>
  <c r="L18" i="9"/>
  <c r="M18" i="9"/>
  <c r="T18" i="9"/>
  <c r="V18" i="9" s="1"/>
  <c r="U18" i="9"/>
  <c r="J11" i="9" l="1"/>
  <c r="J9" i="9"/>
  <c r="J7" i="9"/>
  <c r="K5" i="9"/>
  <c r="J3" i="9"/>
  <c r="H5" i="9"/>
  <c r="T4" i="9"/>
  <c r="V4" i="9" s="1"/>
  <c r="L4" i="9"/>
  <c r="N17" i="9"/>
  <c r="F17" i="9"/>
  <c r="N15" i="9"/>
  <c r="F15" i="9"/>
  <c r="N13" i="9"/>
  <c r="F13" i="9"/>
  <c r="N11" i="9"/>
  <c r="F11" i="9"/>
  <c r="N9" i="9"/>
  <c r="F9" i="9"/>
  <c r="N7" i="9"/>
  <c r="F7" i="9"/>
  <c r="N5" i="9"/>
  <c r="F5" i="9"/>
  <c r="N3" i="9"/>
  <c r="F3" i="9"/>
  <c r="U3" i="9"/>
  <c r="M3" i="9"/>
  <c r="I2" i="9"/>
  <c r="H18" i="9"/>
  <c r="H10" i="9"/>
  <c r="T7" i="9"/>
  <c r="V7" i="9" s="1"/>
  <c r="H2" i="9"/>
  <c r="H14" i="9"/>
  <c r="H12" i="9"/>
  <c r="L7" i="9"/>
  <c r="H4" i="9"/>
  <c r="T3" i="9"/>
  <c r="V3" i="9" s="1"/>
  <c r="L3" i="9"/>
  <c r="G18" i="9"/>
  <c r="K18" i="9" s="1"/>
  <c r="G16" i="9"/>
  <c r="G14" i="9"/>
  <c r="K14" i="9" s="1"/>
  <c r="G12" i="9"/>
  <c r="K12" i="9" s="1"/>
  <c r="G10" i="9"/>
  <c r="K10" i="9" s="1"/>
  <c r="G8" i="9"/>
  <c r="K8" i="9" s="1"/>
  <c r="G6" i="9"/>
  <c r="K6" i="9" s="1"/>
  <c r="G4" i="9"/>
  <c r="K4" i="9" s="1"/>
  <c r="G2" i="9"/>
  <c r="H16" i="9"/>
  <c r="H6" i="9"/>
  <c r="T5" i="9"/>
  <c r="V5" i="9" s="1"/>
  <c r="L5" i="9"/>
  <c r="N18" i="9"/>
  <c r="N16" i="9"/>
  <c r="N14" i="9"/>
  <c r="N12" i="9"/>
  <c r="N10" i="9"/>
  <c r="N8" i="9"/>
  <c r="N6" i="9"/>
  <c r="F6" i="9"/>
  <c r="N4" i="9"/>
  <c r="N2" i="9"/>
  <c r="F2" i="9"/>
  <c r="H7" i="9"/>
  <c r="K7" i="9" s="1"/>
  <c r="T6" i="9"/>
  <c r="V6" i="9" s="1"/>
  <c r="H3" i="9"/>
  <c r="K3" i="9" s="1"/>
  <c r="T2" i="9"/>
  <c r="V2" i="9" s="1"/>
  <c r="P6" i="9" l="1"/>
  <c r="O6" i="9"/>
  <c r="K16" i="9"/>
  <c r="O11" i="9"/>
  <c r="P11" i="9"/>
  <c r="O12" i="9"/>
  <c r="P12" i="9"/>
  <c r="O14" i="9"/>
  <c r="P14" i="9"/>
  <c r="O5" i="9"/>
  <c r="P5" i="9"/>
  <c r="O13" i="9"/>
  <c r="S13" i="9" s="1"/>
  <c r="P13" i="9"/>
  <c r="O10" i="9"/>
  <c r="P10" i="9"/>
  <c r="O3" i="9"/>
  <c r="P3" i="9"/>
  <c r="K2" i="9"/>
  <c r="O2" i="9"/>
  <c r="P2" i="9"/>
  <c r="P16" i="9"/>
  <c r="O16" i="9"/>
  <c r="O4" i="9"/>
  <c r="P4" i="9"/>
  <c r="O18" i="9"/>
  <c r="P18" i="9"/>
  <c r="J2" i="9"/>
  <c r="O7" i="9"/>
  <c r="P7" i="9"/>
  <c r="O15" i="9"/>
  <c r="P15" i="9"/>
  <c r="J6" i="9"/>
  <c r="J8" i="9"/>
  <c r="J14" i="9"/>
  <c r="O9" i="9"/>
  <c r="P9" i="9"/>
  <c r="O17" i="9"/>
  <c r="P17" i="9"/>
  <c r="J18" i="9"/>
  <c r="Q18" i="9" s="1"/>
  <c r="J16" i="9"/>
  <c r="O8" i="9"/>
  <c r="P8" i="9"/>
  <c r="Q7" i="9"/>
  <c r="Q11" i="9"/>
  <c r="Q9" i="9"/>
  <c r="J12" i="9"/>
  <c r="J4" i="9"/>
  <c r="J10" i="9"/>
  <c r="R2" i="9" l="1"/>
  <c r="R17" i="9"/>
  <c r="R9" i="9"/>
  <c r="R13" i="9"/>
  <c r="R11" i="9"/>
  <c r="R15" i="9"/>
  <c r="Q6" i="9"/>
  <c r="S18" i="9"/>
  <c r="R18" i="9"/>
  <c r="S12" i="9"/>
  <c r="S17" i="9"/>
  <c r="S11" i="9"/>
  <c r="S5" i="9"/>
  <c r="S7" i="9"/>
  <c r="Q10" i="9"/>
  <c r="Q2" i="9"/>
  <c r="Q5" i="9"/>
  <c r="Q15" i="9"/>
  <c r="Q17" i="9"/>
  <c r="Q13" i="9"/>
  <c r="S10" i="9"/>
  <c r="S4" i="9"/>
  <c r="S3" i="9"/>
  <c r="S9" i="9"/>
  <c r="S6" i="9"/>
  <c r="R10" i="9"/>
  <c r="R12" i="9"/>
  <c r="R8" i="9"/>
  <c r="R5" i="9"/>
  <c r="S14" i="9"/>
  <c r="R3" i="9"/>
  <c r="S15" i="9"/>
  <c r="R14" i="9"/>
  <c r="R6" i="9"/>
  <c r="R16" i="9"/>
  <c r="S16" i="9"/>
  <c r="R4" i="9"/>
  <c r="S8" i="9"/>
  <c r="Q4" i="9"/>
  <c r="Q14" i="9"/>
  <c r="Q12" i="9"/>
  <c r="Q16" i="9"/>
  <c r="Q8" i="9"/>
  <c r="S2" i="9"/>
  <c r="Q3" i="9"/>
  <c r="R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Marielle Vergara</author>
  </authors>
  <commentList>
    <comment ref="H19" authorId="0" shapeId="0" xr:uid="{4C8717D3-EF61-1945-BB18-DED4EF87C765}">
      <text>
        <r>
          <rPr>
            <b/>
            <sz val="10"/>
            <color rgb="FF000000"/>
            <rFont val="Tahoma"/>
            <family val="2"/>
          </rPr>
          <t>Marielle Vergara: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calculated as income minus expenditure because source savings value was blank</t>
        </r>
      </text>
    </comment>
  </commentList>
</comments>
</file>

<file path=xl/sharedStrings.xml><?xml version="1.0" encoding="utf-8"?>
<sst xmlns="http://schemas.openxmlformats.org/spreadsheetml/2006/main" count="606" uniqueCount="145">
  <si>
    <t>TABLE 2.2  Number of Families, Average Annual Income and Expenditure by Region: 2015, 2018, 2021, and 2023</t>
  </si>
  <si>
    <t xml:space="preserve">                  (In thousand PhP; except number of families)</t>
  </si>
  <si>
    <t>Region</t>
  </si>
  <si>
    <t>Total Number of Families
(in thousands)</t>
  </si>
  <si>
    <t xml:space="preserve">Average Income </t>
  </si>
  <si>
    <t xml:space="preserve">Average Expenditure
</t>
  </si>
  <si>
    <t>Savings</t>
  </si>
  <si>
    <t>Average Expenditure</t>
  </si>
  <si>
    <t>NCR</t>
  </si>
  <si>
    <t>CAR</t>
  </si>
  <si>
    <t>I-Ilocos Region</t>
  </si>
  <si>
    <t>II-Cagayan Valley</t>
  </si>
  <si>
    <t>III-Central Luzon</t>
  </si>
  <si>
    <t>IV-A-CALABARZON</t>
  </si>
  <si>
    <t>MIMAROPA</t>
  </si>
  <si>
    <t>V-Bicol Region</t>
  </si>
  <si>
    <t>VI-Western Visayas</t>
  </si>
  <si>
    <t>VII-Central Visayas</t>
  </si>
  <si>
    <t>VIII-Eastern Visayas</t>
  </si>
  <si>
    <t>IX-Zamboanga Peninsula</t>
  </si>
  <si>
    <t>X-Northern Mindanao</t>
  </si>
  <si>
    <t>XI-Davao Region</t>
  </si>
  <si>
    <t>XII-SOCCSKSARGEN</t>
  </si>
  <si>
    <t>XIII-Caraga</t>
  </si>
  <si>
    <t>BARMM</t>
  </si>
  <si>
    <t>Note: Details may not add up to totals due to rounding.</t>
  </si>
  <si>
    <t>Source: Philippine Statistics Authority, 2015, 2018, 2021, and 2023 Family Income and Expenditure Survey</t>
  </si>
  <si>
    <t>year</t>
  </si>
  <si>
    <t>region_code</t>
  </si>
  <si>
    <t>region_name</t>
  </si>
  <si>
    <t>number_of_families_thousands</t>
  </si>
  <si>
    <t>avg_annual_income_thousand_php</t>
  </si>
  <si>
    <t>avg_annual_expenditure_thousand_php</t>
  </si>
  <si>
    <t>avg_annual_savings_thousand_php</t>
  </si>
  <si>
    <t>number_of_families</t>
  </si>
  <si>
    <t>avg_annual_income_php</t>
  </si>
  <si>
    <t>avg_annual_expenditure_php</t>
  </si>
  <si>
    <t>avg_annual_savings_php</t>
  </si>
  <si>
    <t>avg_monthly_income_php</t>
  </si>
  <si>
    <t>avg_monthly_expenditure_php</t>
  </si>
  <si>
    <t>avg_monthly_savings_php</t>
  </si>
  <si>
    <t>savings_rate</t>
  </si>
  <si>
    <t>income_to_expenditure_ratio</t>
  </si>
  <si>
    <t>region_raw</t>
  </si>
  <si>
    <t>Table 2. Average Monthly Basic Pay, Allowance, and Wage Rates of Time-Rated Workers 
on Full-Time Basis by Region, Philippines: August 2024</t>
  </si>
  <si>
    <t>(In Philippine Peso and in Establishments Employing 10 and More Workers)</t>
  </si>
  <si>
    <t>Average Monthly</t>
  </si>
  <si>
    <t>Basic Pay</t>
  </si>
  <si>
    <t>Allowance</t>
  </si>
  <si>
    <t>Wage Rate</t>
  </si>
  <si>
    <t>PHILIPPINES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</si>
  <si>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</si>
  <si>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</si>
  <si>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</si>
  <si>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</si>
  <si>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</si>
  <si>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</si>
  <si>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</si>
  <si>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</si>
  <si>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</si>
  <si>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</si>
  <si>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</si>
  <si>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</si>
  <si>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</si>
  <si>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</si>
  <si>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</si>
  <si>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</si>
  <si>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Bangsamoro Autonomous Region in Muslim Mindanao</t>
  </si>
  <si>
    <t xml:space="preserve">Notes:  1. Time-rated workers on full-time basis refers to workers paid on the basis of a time unit of work and who work at jobs with hours of work  </t>
  </si>
  <si>
    <t xml:space="preserve">                 equal to or more than those considered as normal or regular to the establishments.</t>
  </si>
  <si>
    <t xml:space="preserve">    2. Basic pay refers to pay for normal/regular working time before deductions for employees' social security contributions and  withholding </t>
  </si>
  <si>
    <t xml:space="preserve">        taxes. It excludes overtime, night shift differential and other premium pay; commissions, tips and share of employees in service charge; </t>
  </si>
  <si>
    <t xml:space="preserve">        and payment in kind.</t>
  </si>
  <si>
    <t xml:space="preserve">    3. Allowances refer to regular/guaranteed cash payments.  These include living allowance but exclude reimbursements for travel, </t>
  </si>
  <si>
    <t xml:space="preserve">        entertainment, meals and other expenses, etc. incurred in conducting the business of the employer, cost of uniform/working clothes; </t>
  </si>
  <si>
    <t xml:space="preserve">        bonuses and gratuities; family allowances.</t>
  </si>
  <si>
    <t xml:space="preserve">    4. Wage is the sum of basic pay and regular/guaranteed cash allowances.</t>
  </si>
  <si>
    <t xml:space="preserve">   5. Sulu province is still part of BARMM.  Provinces under the Negros Island Region are still under Region 6 and Region 8.              </t>
  </si>
  <si>
    <t>Source: Philippine Statistics Authority, 2024 Occupational Wages Survey</t>
  </si>
  <si>
    <t>avg_monthly_basic_pay_php</t>
  </si>
  <si>
    <t>avg_monthly_allowance_php</t>
  </si>
  <si>
    <t>avg_monthly_wage_rate_php</t>
  </si>
  <si>
    <t>wage_check</t>
  </si>
  <si>
    <t>sort_order</t>
  </si>
  <si>
    <t>fies_region_raw</t>
  </si>
  <si>
    <t>ows_region_raw</t>
  </si>
  <si>
    <t>notes</t>
  </si>
  <si>
    <t>I</t>
  </si>
  <si>
    <t>Ilocos Region</t>
  </si>
  <si>
    <t>II</t>
  </si>
  <si>
    <t>Cagayan Valley</t>
  </si>
  <si>
    <t>III</t>
  </si>
  <si>
    <t>Central Luzon</t>
  </si>
  <si>
    <t>IV-A</t>
  </si>
  <si>
    <t>CALABARZON</t>
  </si>
  <si>
    <t>V</t>
  </si>
  <si>
    <t>Bicol Region</t>
  </si>
  <si>
    <t>VI</t>
  </si>
  <si>
    <t>Western Visayas</t>
  </si>
  <si>
    <t>VII</t>
  </si>
  <si>
    <t>Central Visayas</t>
  </si>
  <si>
    <t>VIII</t>
  </si>
  <si>
    <t>Eastern Visayas</t>
  </si>
  <si>
    <t>IX</t>
  </si>
  <si>
    <t>Zamboanga Peninsula</t>
  </si>
  <si>
    <t>X</t>
  </si>
  <si>
    <t>Northern Mindanao</t>
  </si>
  <si>
    <t>XI</t>
  </si>
  <si>
    <t>Davao Region</t>
  </si>
  <si>
    <t>XII</t>
  </si>
  <si>
    <t>SOCCSKSARGEN</t>
  </si>
  <si>
    <t>XIII</t>
  </si>
  <si>
    <t>Caraga</t>
  </si>
  <si>
    <t>fies_year</t>
  </si>
  <si>
    <t>ows_year</t>
  </si>
  <si>
    <t>avg_monthly_family_income_php</t>
  </si>
  <si>
    <t>avg_monthly_family_expenditure_php</t>
  </si>
  <si>
    <t>avg_monthly_family_savings_php</t>
  </si>
  <si>
    <t>wage_to_family_expenditure_ratio_proxy</t>
  </si>
  <si>
    <t>wage_minus_family_expenditure_proxy_php</t>
  </si>
  <si>
    <t>savings_rate_rank</t>
  </si>
  <si>
    <t>income_expenditure_rank</t>
  </si>
  <si>
    <t>wage_expenditure_proxy_rank</t>
  </si>
  <si>
    <t>fies_match_count</t>
  </si>
  <si>
    <t>ows_match_count</t>
  </si>
  <si>
    <t>match_status</t>
  </si>
  <si>
    <t>OK</t>
  </si>
  <si>
    <t>Where Can Filipinos Get the Most Financial Breathing Room? Regional Income, Expenditure, Savings, and Wage Analysis</t>
  </si>
  <si>
    <r>
      <rPr>
        <b/>
        <sz val="20"/>
        <color theme="1"/>
        <rFont val="Aptos Narrow (Body)"/>
      </rPr>
      <t>Highest Income:</t>
    </r>
    <r>
      <rPr>
        <sz val="12"/>
        <color theme="1"/>
        <rFont val="Aptos Narrow"/>
        <family val="2"/>
        <scheme val="minor"/>
      </rPr>
      <t xml:space="preserve">
</t>
    </r>
    <r>
      <rPr>
        <sz val="18"/>
        <color theme="1"/>
        <rFont val="Aptos Narrow (Body)"/>
      </rPr>
      <t>National Capital Region</t>
    </r>
    <r>
      <rPr>
        <sz val="12"/>
        <color theme="1"/>
        <rFont val="Aptos Narrow"/>
        <family val="2"/>
        <scheme val="minor"/>
      </rPr>
      <t xml:space="preserve">
</t>
    </r>
    <r>
      <rPr>
        <sz val="25"/>
        <color theme="1"/>
        <rFont val="Aptos Narrow (Body)"/>
      </rPr>
      <t>₱ 42, 833.33</t>
    </r>
  </si>
  <si>
    <r>
      <rPr>
        <b/>
        <sz val="20"/>
        <color theme="1"/>
        <rFont val="Aptos Narrow (Body)"/>
      </rPr>
      <t>Highest Savings Rate:</t>
    </r>
    <r>
      <rPr>
        <sz val="12"/>
        <color theme="1"/>
        <rFont val="Aptos Narrow"/>
        <family val="2"/>
        <scheme val="minor"/>
      </rPr>
      <t xml:space="preserve">
</t>
    </r>
    <r>
      <rPr>
        <sz val="18"/>
        <color theme="1"/>
        <rFont val="Aptos Narrow (Body)"/>
      </rPr>
      <t>Davao Region</t>
    </r>
    <r>
      <rPr>
        <sz val="12"/>
        <color theme="1"/>
        <rFont val="Aptos Narrow"/>
        <family val="2"/>
        <scheme val="minor"/>
      </rPr>
      <t xml:space="preserve">
</t>
    </r>
    <r>
      <rPr>
        <sz val="25"/>
        <color theme="1"/>
        <rFont val="Aptos Narrow (Body)"/>
      </rPr>
      <t>36.1 %</t>
    </r>
  </si>
  <si>
    <r>
      <rPr>
        <b/>
        <sz val="20"/>
        <color theme="1"/>
        <rFont val="Aptos Narrow (Body)"/>
      </rPr>
      <t>Best Wage Proxy:</t>
    </r>
    <r>
      <rPr>
        <sz val="12"/>
        <color theme="1"/>
        <rFont val="Aptos Narrow"/>
        <family val="2"/>
        <scheme val="minor"/>
      </rPr>
      <t xml:space="preserve">
</t>
    </r>
    <r>
      <rPr>
        <sz val="18"/>
        <color theme="1"/>
        <rFont val="Aptos Narrow (Body)"/>
      </rPr>
      <t xml:space="preserve">Central Visayas </t>
    </r>
    <r>
      <rPr>
        <sz val="12"/>
        <color theme="1"/>
        <rFont val="Aptos Narrow"/>
        <family val="2"/>
        <scheme val="minor"/>
      </rPr>
      <t xml:space="preserve">
</t>
    </r>
    <r>
      <rPr>
        <sz val="25"/>
        <color theme="1"/>
        <rFont val="Aptos Narrow (Body)"/>
      </rPr>
      <t>1.09</t>
    </r>
  </si>
  <si>
    <r>
      <rPr>
        <b/>
        <sz val="20"/>
        <color theme="1"/>
        <rFont val="Aptos Narrow (Body)"/>
      </rPr>
      <t>NCR Saving Rate:</t>
    </r>
    <r>
      <rPr>
        <sz val="12"/>
        <color theme="1"/>
        <rFont val="Aptos Narrow"/>
        <family val="2"/>
        <scheme val="minor"/>
      </rPr>
      <t xml:space="preserve">
</t>
    </r>
    <r>
      <rPr>
        <sz val="25"/>
        <color theme="1"/>
        <rFont val="Aptos Narrow (Body)"/>
      </rPr>
      <t>24.9 %</t>
    </r>
  </si>
  <si>
    <t xml:space="preserve">Region </t>
  </si>
  <si>
    <t>Savings Rate</t>
  </si>
  <si>
    <t>Monthly Income</t>
  </si>
  <si>
    <t>Monthly Expenditure</t>
  </si>
  <si>
    <t>Wage-to-Expenditure Proxy</t>
  </si>
  <si>
    <t>Note: This is a proxy because wage refers to an individual worker, while expenditure refers to average family expenditure</t>
  </si>
  <si>
    <t>Region Group</t>
  </si>
  <si>
    <t>Monthly Savings</t>
  </si>
  <si>
    <t>Other Regions</t>
  </si>
  <si>
    <t>Key Findings / Notes</t>
  </si>
  <si>
    <t>1. NCR had the highest monthly family income, but also the highest monthly family expenditure.</t>
  </si>
  <si>
    <t>2. Davao Region had the highest savings rate at 36.1%, suggesting stronger financial breathing room.</t>
  </si>
  <si>
    <t>3. Other regions had a higher average savings rate than NCR, despite NCR having much higher income and wage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</si>
</sst>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₱&quot;#,##0.00"/>
    <numFmt numFmtId="165" formatCode="0.0%"/>
    <numFmt numFmtId="166" formatCode="_-* #,##0.00_-;\-* #,##0.00_-;_-* &quot;-&quot;??_-;_-@_-"/>
    <numFmt numFmtId="167" formatCode="_-* #,##0_-;\-* #,##0_-;_-* &quot;-&quot;??_-;_-@_-"/>
    <numFmt numFmtId="168" formatCode="0.000"/>
  </numFmts>
  <fonts count="3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2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 (Body)"/>
    </font>
    <font>
      <b/>
      <sz val="20"/>
      <color theme="1"/>
      <name val="Aptos Narrow (Body)"/>
    </font>
    <font>
      <sz val="25"/>
      <color theme="1"/>
      <name val="Aptos Narrow (Body)"/>
    </font>
    <font>
      <sz val="10"/>
      <color rgb="FF000000"/>
      <name val="American Typewriter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8" fillId="0" borderId="0" xfId="0" applyFont="1"/>
    <xf numFmtId="2" fontId="18" fillId="0" borderId="0" xfId="0" applyNumberFormat="1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4" fillId="0" borderId="0" xfId="42" applyFont="1" applyAlignment="1">
      <alignment horizontal="center"/>
    </xf>
    <xf numFmtId="0" fontId="25" fillId="0" borderId="10" xfId="42" applyFont="1" applyBorder="1" applyAlignment="1">
      <alignment horizontal="center" vertical="center" wrapText="1"/>
    </xf>
    <xf numFmtId="0" fontId="25" fillId="0" borderId="11" xfId="42" applyFont="1" applyBorder="1" applyAlignment="1">
      <alignment horizontal="center" vertical="center" wrapText="1"/>
    </xf>
    <xf numFmtId="0" fontId="26" fillId="0" borderId="12" xfId="42" applyFont="1" applyBorder="1" applyAlignment="1">
      <alignment vertical="center"/>
    </xf>
    <xf numFmtId="167" fontId="26" fillId="0" borderId="12" xfId="43" applyNumberFormat="1" applyFont="1" applyBorder="1" applyAlignment="1">
      <alignment horizontal="right" wrapText="1" indent="3"/>
    </xf>
    <xf numFmtId="0" fontId="26" fillId="0" borderId="12" xfId="42" applyFont="1" applyBorder="1" applyAlignment="1">
      <alignment horizontal="center" vertical="center" wrapText="1"/>
    </xf>
    <xf numFmtId="3" fontId="26" fillId="0" borderId="12" xfId="42" applyNumberFormat="1" applyFont="1" applyBorder="1" applyAlignment="1">
      <alignment horizontal="right" vertical="center" wrapText="1" indent="3"/>
    </xf>
    <xf numFmtId="0" fontId="27" fillId="0" borderId="12" xfId="42" applyFont="1" applyBorder="1" applyAlignment="1">
      <alignment horizontal="left" vertical="center" indent="1"/>
    </xf>
    <xf numFmtId="3" fontId="23" fillId="0" borderId="12" xfId="42" applyNumberFormat="1" applyFont="1" applyBorder="1" applyAlignment="1">
      <alignment horizontal="right" wrapText="1" indent="3"/>
    </xf>
    <xf numFmtId="0" fontId="28" fillId="0" borderId="13" xfId="42" applyFont="1" applyBorder="1" applyAlignment="1">
      <alignment vertical="center"/>
    </xf>
    <xf numFmtId="0" fontId="28" fillId="0" borderId="0" xfId="42" applyFont="1"/>
    <xf numFmtId="0" fontId="29" fillId="0" borderId="0" xfId="42" applyFont="1"/>
    <xf numFmtId="0" fontId="29" fillId="0" borderId="0" xfId="42" applyFont="1" applyAlignment="1">
      <alignment horizontal="left" indent="3"/>
    </xf>
    <xf numFmtId="0" fontId="30" fillId="0" borderId="0" xfId="0" applyFont="1"/>
    <xf numFmtId="49" fontId="0" fillId="0" borderId="0" xfId="0" applyNumberFormat="1"/>
    <xf numFmtId="168" fontId="0" fillId="0" borderId="0" xfId="0" applyNumberFormat="1"/>
    <xf numFmtId="168" fontId="18" fillId="0" borderId="0" xfId="0" applyNumberFormat="1" applyFont="1"/>
    <xf numFmtId="0" fontId="0" fillId="33" borderId="14" xfId="0" applyFill="1" applyBorder="1"/>
    <xf numFmtId="0" fontId="0" fillId="0" borderId="14" xfId="0" applyBorder="1"/>
    <xf numFmtId="168" fontId="0" fillId="33" borderId="14" xfId="0" applyNumberFormat="1" applyFill="1" applyBorder="1"/>
    <xf numFmtId="168" fontId="0" fillId="0" borderId="14" xfId="0" applyNumberFormat="1" applyBorder="1"/>
    <xf numFmtId="165" fontId="0" fillId="0" borderId="0" xfId="44" applyNumberFormat="1" applyFont="1"/>
    <xf numFmtId="165" fontId="0" fillId="0" borderId="14" xfId="44" applyNumberFormat="1" applyFont="1" applyBorder="1"/>
    <xf numFmtId="165" fontId="0" fillId="33" borderId="14" xfId="44" applyNumberFormat="1" applyFont="1" applyFill="1" applyBorder="1"/>
    <xf numFmtId="2" fontId="0" fillId="33" borderId="14" xfId="0" applyNumberFormat="1" applyFill="1" applyBorder="1"/>
    <xf numFmtId="2" fontId="0" fillId="0" borderId="14" xfId="0" applyNumberFormat="1" applyBorder="1"/>
    <xf numFmtId="0" fontId="35" fillId="0" borderId="0" xfId="0" applyFont="1"/>
    <xf numFmtId="0" fontId="22" fillId="0" borderId="0" xfId="42" applyFont="1" applyAlignment="1">
      <alignment horizontal="center" vertical="center" wrapText="1"/>
    </xf>
    <xf numFmtId="0" fontId="23" fillId="0" borderId="0" xfId="42" applyFont="1" applyAlignment="1">
      <alignment horizontal="center"/>
    </xf>
    <xf numFmtId="0" fontId="25" fillId="0" borderId="10" xfId="4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31" fillId="38" borderId="0" xfId="0" applyFont="1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 wrapText="1"/>
    </xf>
    <xf numFmtId="0" fontId="0" fillId="37" borderId="0" xfId="0" applyFill="1" applyAlignment="1">
      <alignment horizontal="center" vertical="center"/>
    </xf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84728938-75C2-EF46-B337-0EA7CDAE72C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17DFEFE-4A9C-D84A-A650-08D66D47288B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8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dashboard_data!$B$1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dashboard_data!$A$2:$A$18</c:f>
              <c:strCache>
                <c:ptCount val="17"/>
                <c:pt idx="0">
                  <c:v>Davao Region</c:v>
                </c:pt>
                <c:pt idx="1">
                  <c:v>Central Visayas</c:v>
                </c:pt>
                <c:pt idx="2">
                  <c:v>Northern Mindanao</c:v>
                </c:pt>
                <c:pt idx="3">
                  <c:v>Ilocos Region</c:v>
                </c:pt>
                <c:pt idx="4">
                  <c:v>Cagayan Valley</c:v>
                </c:pt>
                <c:pt idx="5">
                  <c:v>Cordillera Administrative Region</c:v>
                </c:pt>
                <c:pt idx="6">
                  <c:v>Bicol Region</c:v>
                </c:pt>
                <c:pt idx="7">
                  <c:v>MIMAROPA Region</c:v>
                </c:pt>
                <c:pt idx="8">
                  <c:v>SOCCSKSARGEN</c:v>
                </c:pt>
                <c:pt idx="9">
                  <c:v>CALABARZON</c:v>
                </c:pt>
                <c:pt idx="10">
                  <c:v>Eastern Visayas</c:v>
                </c:pt>
                <c:pt idx="11">
                  <c:v>National Capital Region</c:v>
                </c:pt>
                <c:pt idx="12">
                  <c:v>Western Visayas</c:v>
                </c:pt>
                <c:pt idx="13">
                  <c:v>Caraga</c:v>
                </c:pt>
                <c:pt idx="14">
                  <c:v>Zamboanga Peninsula</c:v>
                </c:pt>
                <c:pt idx="15">
                  <c:v>Central Luzon</c:v>
                </c:pt>
                <c:pt idx="16">
                  <c:v>Bangsamoro Autonomous Region in Muslim Mindanao</c:v>
                </c:pt>
              </c:strCache>
            </c:strRef>
          </c:cat>
          <c:val>
            <c:numRef>
              <c:f>dashboard_data!$B$2:$B$18</c:f>
              <c:numCache>
                <c:formatCode>0.0%</c:formatCode>
                <c:ptCount val="17"/>
                <c:pt idx="0">
                  <c:v>0.36050156739811917</c:v>
                </c:pt>
                <c:pt idx="1">
                  <c:v>0.33753943217665611</c:v>
                </c:pt>
                <c:pt idx="2">
                  <c:v>0.31756756756756754</c:v>
                </c:pt>
                <c:pt idx="3">
                  <c:v>0.31470588235294117</c:v>
                </c:pt>
                <c:pt idx="4">
                  <c:v>0.31189710610932475</c:v>
                </c:pt>
                <c:pt idx="5">
                  <c:v>0.30919220055710306</c:v>
                </c:pt>
                <c:pt idx="6">
                  <c:v>0.29616724738675954</c:v>
                </c:pt>
                <c:pt idx="7">
                  <c:v>0.29213483146067415</c:v>
                </c:pt>
                <c:pt idx="8">
                  <c:v>0.28368794326241137</c:v>
                </c:pt>
                <c:pt idx="9">
                  <c:v>0.27166276346604212</c:v>
                </c:pt>
                <c:pt idx="10">
                  <c:v>0.25093632958801498</c:v>
                </c:pt>
                <c:pt idx="11">
                  <c:v>0.24902723735408558</c:v>
                </c:pt>
                <c:pt idx="12">
                  <c:v>0.24496644295302014</c:v>
                </c:pt>
                <c:pt idx="13">
                  <c:v>0.22743682310469315</c:v>
                </c:pt>
                <c:pt idx="14">
                  <c:v>0.21789883268482491</c:v>
                </c:pt>
                <c:pt idx="15">
                  <c:v>0.20533333333333334</c:v>
                </c:pt>
                <c:pt idx="16">
                  <c:v>0.18357487922705312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8-6346-B31D-9A97184AA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388032"/>
        <c:axId val="2101389376"/>
      </c:barChart>
      <c:catAx>
        <c:axId val="210138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89376"/>
        <c:crosses val="autoZero"/>
        <c:auto val="1"/>
        <c:lblAlgn val="ctr"/>
        <c:lblOffset val="100"/>
        <c:noMultiLvlLbl val="0"/>
      </c:catAx>
      <c:valAx>
        <c:axId val="21013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8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dashboard_data!$E$1</c:f>
              <c:strCache>
                <c:ptCount val="1"/>
                <c:pt idx="0">
                  <c:v>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dashboard_data!$D$2:$D$18</c:f>
              <c:strCache>
                <c:ptCount val="17"/>
                <c:pt idx="0">
                  <c:v>National Capital Region</c:v>
                </c:pt>
                <c:pt idx="1">
                  <c:v>CALABARZON</c:v>
                </c:pt>
                <c:pt idx="2">
                  <c:v>Central Luzon</c:v>
                </c:pt>
                <c:pt idx="3">
                  <c:v>Cordillera Administrative Region</c:v>
                </c:pt>
                <c:pt idx="4">
                  <c:v>Ilocos Region</c:v>
                </c:pt>
                <c:pt idx="5">
                  <c:v>Davao Region</c:v>
                </c:pt>
                <c:pt idx="6">
                  <c:v>Central Visayas</c:v>
                </c:pt>
                <c:pt idx="7">
                  <c:v>Cagayan Valley</c:v>
                </c:pt>
                <c:pt idx="8">
                  <c:v>Western Visayas</c:v>
                </c:pt>
                <c:pt idx="9">
                  <c:v>Northern Mindanao</c:v>
                </c:pt>
                <c:pt idx="10">
                  <c:v>Bicol Region</c:v>
                </c:pt>
                <c:pt idx="11">
                  <c:v>SOCCSKSARGEN</c:v>
                </c:pt>
                <c:pt idx="12">
                  <c:v>Caraga</c:v>
                </c:pt>
                <c:pt idx="13">
                  <c:v>MIMAROPA Region</c:v>
                </c:pt>
                <c:pt idx="14">
                  <c:v>Eastern Visayas</c:v>
                </c:pt>
                <c:pt idx="15">
                  <c:v>Zamboanga Peninsula</c:v>
                </c:pt>
                <c:pt idx="16">
                  <c:v>Bangsamoro Autonomous Region in Muslim Mindanao</c:v>
                </c:pt>
              </c:strCache>
            </c:strRef>
          </c:cat>
          <c:val>
            <c:numRef>
              <c:f>dashboard_data!$E$2:$E$18</c:f>
              <c:numCache>
                <c:formatCode>0.00</c:formatCode>
                <c:ptCount val="17"/>
                <c:pt idx="0">
                  <c:v>42833.333333333336</c:v>
                </c:pt>
                <c:pt idx="1">
                  <c:v>35583.333333333336</c:v>
                </c:pt>
                <c:pt idx="2">
                  <c:v>31250</c:v>
                </c:pt>
                <c:pt idx="3">
                  <c:v>29916.666666666668</c:v>
                </c:pt>
                <c:pt idx="4">
                  <c:v>28333.333333333332</c:v>
                </c:pt>
                <c:pt idx="5">
                  <c:v>26583.333333333332</c:v>
                </c:pt>
                <c:pt idx="6">
                  <c:v>26416.666666666668</c:v>
                </c:pt>
                <c:pt idx="7">
                  <c:v>25916.666666666668</c:v>
                </c:pt>
                <c:pt idx="8">
                  <c:v>24833.333333333332</c:v>
                </c:pt>
                <c:pt idx="9">
                  <c:v>24666.666666666668</c:v>
                </c:pt>
                <c:pt idx="10">
                  <c:v>23916.666666666668</c:v>
                </c:pt>
                <c:pt idx="11">
                  <c:v>23500</c:v>
                </c:pt>
                <c:pt idx="12">
                  <c:v>23083.333333333332</c:v>
                </c:pt>
                <c:pt idx="13">
                  <c:v>22250</c:v>
                </c:pt>
                <c:pt idx="14">
                  <c:v>22250</c:v>
                </c:pt>
                <c:pt idx="15">
                  <c:v>21416.666666666668</c:v>
                </c:pt>
                <c:pt idx="16">
                  <c:v>17250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5-1642-906A-4C9FC38C3D52}"/>
            </c:ext>
          </c:extLst>
        </c:ser>
        <c:ser>
          <c:idx val="1"/>
          <c:order val="1"/>
          <c:tx>
            <c:strRef>
              <c:f>dashboard_data!$F$1</c:f>
              <c:strCache>
                <c:ptCount val="1"/>
                <c:pt idx="0">
                  <c:v>Monthly 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dashboard_data!$D$2:$D$18</c:f>
              <c:strCache>
                <c:ptCount val="17"/>
                <c:pt idx="0">
                  <c:v>National Capital Region</c:v>
                </c:pt>
                <c:pt idx="1">
                  <c:v>CALABARZON</c:v>
                </c:pt>
                <c:pt idx="2">
                  <c:v>Central Luzon</c:v>
                </c:pt>
                <c:pt idx="3">
                  <c:v>Cordillera Administrative Region</c:v>
                </c:pt>
                <c:pt idx="4">
                  <c:v>Ilocos Region</c:v>
                </c:pt>
                <c:pt idx="5">
                  <c:v>Davao Region</c:v>
                </c:pt>
                <c:pt idx="6">
                  <c:v>Central Visayas</c:v>
                </c:pt>
                <c:pt idx="7">
                  <c:v>Cagayan Valley</c:v>
                </c:pt>
                <c:pt idx="8">
                  <c:v>Western Visayas</c:v>
                </c:pt>
                <c:pt idx="9">
                  <c:v>Northern Mindanao</c:v>
                </c:pt>
                <c:pt idx="10">
                  <c:v>Bicol Region</c:v>
                </c:pt>
                <c:pt idx="11">
                  <c:v>SOCCSKSARGEN</c:v>
                </c:pt>
                <c:pt idx="12">
                  <c:v>Caraga</c:v>
                </c:pt>
                <c:pt idx="13">
                  <c:v>MIMAROPA Region</c:v>
                </c:pt>
                <c:pt idx="14">
                  <c:v>Eastern Visayas</c:v>
                </c:pt>
                <c:pt idx="15">
                  <c:v>Zamboanga Peninsula</c:v>
                </c:pt>
                <c:pt idx="16">
                  <c:v>Bangsamoro Autonomous Region in Muslim Mindanao</c:v>
                </c:pt>
              </c:strCache>
            </c:strRef>
          </c:cat>
          <c:val>
            <c:numRef>
              <c:f>dashboard_data!$F$2:$F$18</c:f>
              <c:numCache>
                <c:formatCode>0.00</c:formatCode>
                <c:ptCount val="17"/>
                <c:pt idx="0">
                  <c:v>32083.333333333332</c:v>
                </c:pt>
                <c:pt idx="1">
                  <c:v>25833.333333333332</c:v>
                </c:pt>
                <c:pt idx="2">
                  <c:v>24916.666666666668</c:v>
                </c:pt>
                <c:pt idx="3">
                  <c:v>20666.666666666668</c:v>
                </c:pt>
                <c:pt idx="4">
                  <c:v>19333.333333333332</c:v>
                </c:pt>
                <c:pt idx="5">
                  <c:v>17000</c:v>
                </c:pt>
                <c:pt idx="6">
                  <c:v>17500</c:v>
                </c:pt>
                <c:pt idx="7">
                  <c:v>17833.333333333332</c:v>
                </c:pt>
                <c:pt idx="8">
                  <c:v>18750</c:v>
                </c:pt>
                <c:pt idx="9">
                  <c:v>16916.666666666668</c:v>
                </c:pt>
                <c:pt idx="10">
                  <c:v>16916.666666666668</c:v>
                </c:pt>
                <c:pt idx="11">
                  <c:v>16833.333333333332</c:v>
                </c:pt>
                <c:pt idx="12">
                  <c:v>17750</c:v>
                </c:pt>
                <c:pt idx="13">
                  <c:v>15833.333333333334</c:v>
                </c:pt>
                <c:pt idx="14">
                  <c:v>16666.666666666668</c:v>
                </c:pt>
                <c:pt idx="15">
                  <c:v>16750</c:v>
                </c:pt>
                <c:pt idx="16">
                  <c:v>14083.333333333334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5-1642-906A-4C9FC38C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3583"/>
        <c:axId val="12403135"/>
      </c:barChart>
      <c:catAx>
        <c:axId val="124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135"/>
        <c:crosses val="autoZero"/>
        <c:auto val="1"/>
        <c:lblAlgn val="ctr"/>
        <c:lblOffset val="100"/>
        <c:noMultiLvlLbl val="0"/>
      </c:catAx>
      <c:valAx>
        <c:axId val="124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dashboard_data!$I$1</c:f>
              <c:strCache>
                <c:ptCount val="1"/>
                <c:pt idx="0">
                  <c:v>Wage-to-Expenditure Proxy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dashboard_data!$H$2:$H$18</c:f>
              <c:strCache>
                <c:ptCount val="17"/>
                <c:pt idx="0">
                  <c:v>Central Visayas</c:v>
                </c:pt>
                <c:pt idx="1">
                  <c:v>Davao Region</c:v>
                </c:pt>
                <c:pt idx="2">
                  <c:v>National Capital Region</c:v>
                </c:pt>
                <c:pt idx="3">
                  <c:v>MIMAROPA Region</c:v>
                </c:pt>
                <c:pt idx="4">
                  <c:v>Western Visayas</c:v>
                </c:pt>
                <c:pt idx="5">
                  <c:v>Northern Mindanao</c:v>
                </c:pt>
                <c:pt idx="6">
                  <c:v>Cagayan Valley</c:v>
                </c:pt>
                <c:pt idx="7">
                  <c:v>Cordillera Administrative Region</c:v>
                </c:pt>
                <c:pt idx="8">
                  <c:v>Bangsamoro Autonomous Region in Muslim Mindanao</c:v>
                </c:pt>
                <c:pt idx="9">
                  <c:v>Bicol Region</c:v>
                </c:pt>
                <c:pt idx="10">
                  <c:v>Eastern Visayas</c:v>
                </c:pt>
                <c:pt idx="11">
                  <c:v>Caraga</c:v>
                </c:pt>
                <c:pt idx="12">
                  <c:v>SOCCSKSARGEN</c:v>
                </c:pt>
                <c:pt idx="13">
                  <c:v>Ilocos Region</c:v>
                </c:pt>
                <c:pt idx="14">
                  <c:v>CALABARZON</c:v>
                </c:pt>
                <c:pt idx="15">
                  <c:v>Central Luzon</c:v>
                </c:pt>
                <c:pt idx="16">
                  <c:v>Zamboanga Peninsula</c:v>
                </c:pt>
              </c:strCache>
            </c:strRef>
          </c:cat>
          <c:val>
            <c:numRef>
              <c:f>dashboard_data!$I$2:$I$18</c:f>
              <c:numCache>
                <c:formatCode>0.000</c:formatCode>
                <c:ptCount val="17"/>
                <c:pt idx="0">
                  <c:v>1.0904874285714286</c:v>
                </c:pt>
                <c:pt idx="1">
                  <c:v>1.0560476470588236</c:v>
                </c:pt>
                <c:pt idx="2">
                  <c:v>0.91355158441558437</c:v>
                </c:pt>
                <c:pt idx="3">
                  <c:v>0.89924526315789466</c:v>
                </c:pt>
                <c:pt idx="4">
                  <c:v>0.85887573333333334</c:v>
                </c:pt>
                <c:pt idx="5">
                  <c:v>0.85826305418719206</c:v>
                </c:pt>
                <c:pt idx="6">
                  <c:v>0.84968411214953277</c:v>
                </c:pt>
                <c:pt idx="7">
                  <c:v>0.84350467741935475</c:v>
                </c:pt>
                <c:pt idx="8">
                  <c:v>0.81621017751479286</c:v>
                </c:pt>
                <c:pt idx="9">
                  <c:v>0.8128924137931034</c:v>
                </c:pt>
                <c:pt idx="10">
                  <c:v>0.80802299999999994</c:v>
                </c:pt>
                <c:pt idx="11">
                  <c:v>0.80108563380281694</c:v>
                </c:pt>
                <c:pt idx="12">
                  <c:v>0.78047643564356439</c:v>
                </c:pt>
                <c:pt idx="13">
                  <c:v>0.76445689655172422</c:v>
                </c:pt>
                <c:pt idx="14">
                  <c:v>0.76302425806451613</c:v>
                </c:pt>
                <c:pt idx="15">
                  <c:v>0.73341872909698991</c:v>
                </c:pt>
                <c:pt idx="16">
                  <c:v>0.72957313432835824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B-1945-B074-CA2599EA2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02879"/>
        <c:axId val="25006911"/>
      </c:barChart>
      <c:catAx>
        <c:axId val="2500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6911"/>
        <c:crosses val="autoZero"/>
        <c:auto val="1"/>
        <c:lblAlgn val="ctr"/>
        <c:lblOffset val="100"/>
        <c:noMultiLvlLbl val="0"/>
      </c:catAx>
      <c:valAx>
        <c:axId val="2500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dashboard_data!$K$2</c:f>
              <c:strCache>
                <c:ptCount val="1"/>
                <c:pt idx="0">
                  <c:v>NCR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dashboard_data!$L$1:$N$1</c:f>
              <c:strCache>
                <c:ptCount val="3"/>
                <c:pt idx="0">
                  <c:v>Monthly Income</c:v>
                </c:pt>
                <c:pt idx="1">
                  <c:v>Monthly Expenditure</c:v>
                </c:pt>
                <c:pt idx="2">
                  <c:v>Monthly Savings</c:v>
                </c:pt>
              </c:strCache>
            </c:strRef>
          </c:cat>
          <c:val>
            <c:numRef>
              <c:f>dashboard_data!$L$2:$N$2</c:f>
              <c:numCache>
                <c:formatCode>General</c:formatCode>
                <c:ptCount val="3"/>
                <c:pt idx="0">
                  <c:v>42833.33</c:v>
                </c:pt>
                <c:pt idx="1">
                  <c:v>32083.33</c:v>
                </c:pt>
                <c:pt idx="2">
                  <c:v>10666.67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F-094C-B240-BC8120B7939E}"/>
            </c:ext>
          </c:extLst>
        </c:ser>
        <c:ser>
          <c:idx val="1"/>
          <c:order val="1"/>
          <c:tx>
            <c:strRef>
              <c:f>dashboard_data!$K$3</c:f>
              <c:strCache>
                <c:ptCount val="1"/>
                <c:pt idx="0">
                  <c:v>Other Regions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dashboard_data!$L$1:$N$1</c:f>
              <c:strCache>
                <c:ptCount val="3"/>
                <c:pt idx="0">
                  <c:v>Monthly Income</c:v>
                </c:pt>
                <c:pt idx="1">
                  <c:v>Monthly Expenditure</c:v>
                </c:pt>
                <c:pt idx="2">
                  <c:v>Monthly Savings</c:v>
                </c:pt>
              </c:strCache>
            </c:strRef>
          </c:cat>
          <c:val>
            <c:numRef>
              <c:f>dashboard_data!$L$3:$N$3</c:f>
              <c:numCache>
                <c:formatCode>General</c:formatCode>
                <c:ptCount val="3"/>
                <c:pt idx="0">
                  <c:v>25447.919999999998</c:v>
                </c:pt>
                <c:pt idx="1">
                  <c:v>18348.96</c:v>
                </c:pt>
                <c:pt idx="2">
                  <c:v>7104.17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F-094C-B240-BC8120B79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7039"/>
        <c:axId val="12589183"/>
      </c:barChart>
      <c:catAx>
        <c:axId val="144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183"/>
        <c:crosses val="autoZero"/>
        <c:auto val="1"/>
        <c:lblAlgn val="ctr"/>
        <c:lblOffset val="100"/>
        <c:noMultiLvlLbl val="0"/>
      </c:catAx>
      <c:valAx>
        <c:axId val="125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Rate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dashboard_data!$B$1</c:f>
              <c:strCache>
                <c:ptCount val="1"/>
                <c:pt idx="0">
                  <c:v>Savings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dashboard_data!$A$2:$A$18</c:f>
              <c:strCache>
                <c:ptCount val="17"/>
                <c:pt idx="0">
                  <c:v>Davao Region</c:v>
                </c:pt>
                <c:pt idx="1">
                  <c:v>Central Visayas</c:v>
                </c:pt>
                <c:pt idx="2">
                  <c:v>Northern Mindanao</c:v>
                </c:pt>
                <c:pt idx="3">
                  <c:v>Ilocos Region</c:v>
                </c:pt>
                <c:pt idx="4">
                  <c:v>Cagayan Valley</c:v>
                </c:pt>
                <c:pt idx="5">
                  <c:v>Cordillera Administrative Region</c:v>
                </c:pt>
                <c:pt idx="6">
                  <c:v>Bicol Region</c:v>
                </c:pt>
                <c:pt idx="7">
                  <c:v>MIMAROPA Region</c:v>
                </c:pt>
                <c:pt idx="8">
                  <c:v>SOCCSKSARGEN</c:v>
                </c:pt>
                <c:pt idx="9">
                  <c:v>CALABARZON</c:v>
                </c:pt>
                <c:pt idx="10">
                  <c:v>Eastern Visayas</c:v>
                </c:pt>
                <c:pt idx="11">
                  <c:v>National Capital Region</c:v>
                </c:pt>
                <c:pt idx="12">
                  <c:v>Western Visayas</c:v>
                </c:pt>
                <c:pt idx="13">
                  <c:v>Caraga</c:v>
                </c:pt>
                <c:pt idx="14">
                  <c:v>Zamboanga Peninsula</c:v>
                </c:pt>
                <c:pt idx="15">
                  <c:v>Central Luzon</c:v>
                </c:pt>
                <c:pt idx="16">
                  <c:v>Bangsamoro Autonomous Region in Muslim Mindanao</c:v>
                </c:pt>
              </c:strCache>
            </c:strRef>
          </c:cat>
          <c:val>
            <c:numRef>
              <c:f>dashboard_data!$B$2:$B$18</c:f>
              <c:numCache>
                <c:formatCode>0.0%</c:formatCode>
                <c:ptCount val="17"/>
                <c:pt idx="0">
                  <c:v>0.36050156739811917</c:v>
                </c:pt>
                <c:pt idx="1">
                  <c:v>0.33753943217665611</c:v>
                </c:pt>
                <c:pt idx="2">
                  <c:v>0.31756756756756754</c:v>
                </c:pt>
                <c:pt idx="3">
                  <c:v>0.31470588235294117</c:v>
                </c:pt>
                <c:pt idx="4">
                  <c:v>0.31189710610932475</c:v>
                </c:pt>
                <c:pt idx="5">
                  <c:v>0.30919220055710306</c:v>
                </c:pt>
                <c:pt idx="6">
                  <c:v>0.29616724738675954</c:v>
                </c:pt>
                <c:pt idx="7">
                  <c:v>0.29213483146067415</c:v>
                </c:pt>
                <c:pt idx="8">
                  <c:v>0.28368794326241137</c:v>
                </c:pt>
                <c:pt idx="9">
                  <c:v>0.27166276346604212</c:v>
                </c:pt>
                <c:pt idx="10">
                  <c:v>0.25093632958801498</c:v>
                </c:pt>
                <c:pt idx="11">
                  <c:v>0.24902723735408558</c:v>
                </c:pt>
                <c:pt idx="12">
                  <c:v>0.24496644295302014</c:v>
                </c:pt>
                <c:pt idx="13">
                  <c:v>0.22743682310469315</c:v>
                </c:pt>
                <c:pt idx="14">
                  <c:v>0.21789883268482491</c:v>
                </c:pt>
                <c:pt idx="15">
                  <c:v>0.20533333333333334</c:v>
                </c:pt>
                <c:pt idx="16">
                  <c:v>0.18357487922705312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A-5445-871F-76DC3A84B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388032"/>
        <c:axId val="2101389376"/>
      </c:barChart>
      <c:catAx>
        <c:axId val="2101388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89376"/>
        <c:crosses val="autoZero"/>
        <c:auto val="1"/>
        <c:lblAlgn val="ctr"/>
        <c:lblOffset val="100"/>
        <c:noMultiLvlLbl val="0"/>
      </c:catAx>
      <c:valAx>
        <c:axId val="21013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8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Family Income vs Expenditure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dashboard_data!$E$1</c:f>
              <c:strCache>
                <c:ptCount val="1"/>
                <c:pt idx="0">
                  <c:v>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dashboard_data!$D$2:$D$18</c:f>
              <c:strCache>
                <c:ptCount val="17"/>
                <c:pt idx="0">
                  <c:v>National Capital Region</c:v>
                </c:pt>
                <c:pt idx="1">
                  <c:v>CALABARZON</c:v>
                </c:pt>
                <c:pt idx="2">
                  <c:v>Central Luzon</c:v>
                </c:pt>
                <c:pt idx="3">
                  <c:v>Cordillera Administrative Region</c:v>
                </c:pt>
                <c:pt idx="4">
                  <c:v>Ilocos Region</c:v>
                </c:pt>
                <c:pt idx="5">
                  <c:v>Davao Region</c:v>
                </c:pt>
                <c:pt idx="6">
                  <c:v>Central Visayas</c:v>
                </c:pt>
                <c:pt idx="7">
                  <c:v>Cagayan Valley</c:v>
                </c:pt>
                <c:pt idx="8">
                  <c:v>Western Visayas</c:v>
                </c:pt>
                <c:pt idx="9">
                  <c:v>Northern Mindanao</c:v>
                </c:pt>
                <c:pt idx="10">
                  <c:v>Bicol Region</c:v>
                </c:pt>
                <c:pt idx="11">
                  <c:v>SOCCSKSARGEN</c:v>
                </c:pt>
                <c:pt idx="12">
                  <c:v>Caraga</c:v>
                </c:pt>
                <c:pt idx="13">
                  <c:v>MIMAROPA Region</c:v>
                </c:pt>
                <c:pt idx="14">
                  <c:v>Eastern Visayas</c:v>
                </c:pt>
                <c:pt idx="15">
                  <c:v>Zamboanga Peninsula</c:v>
                </c:pt>
                <c:pt idx="16">
                  <c:v>Bangsamoro Autonomous Region in Muslim Mindanao</c:v>
                </c:pt>
              </c:strCache>
            </c:strRef>
          </c:cat>
          <c:val>
            <c:numRef>
              <c:f>dashboard_data!$E$2:$E$18</c:f>
              <c:numCache>
                <c:formatCode>0.00</c:formatCode>
                <c:ptCount val="17"/>
                <c:pt idx="0">
                  <c:v>42833.333333333336</c:v>
                </c:pt>
                <c:pt idx="1">
                  <c:v>35583.333333333336</c:v>
                </c:pt>
                <c:pt idx="2">
                  <c:v>31250</c:v>
                </c:pt>
                <c:pt idx="3">
                  <c:v>29916.666666666668</c:v>
                </c:pt>
                <c:pt idx="4">
                  <c:v>28333.333333333332</c:v>
                </c:pt>
                <c:pt idx="5">
                  <c:v>26583.333333333332</c:v>
                </c:pt>
                <c:pt idx="6">
                  <c:v>26416.666666666668</c:v>
                </c:pt>
                <c:pt idx="7">
                  <c:v>25916.666666666668</c:v>
                </c:pt>
                <c:pt idx="8">
                  <c:v>24833.333333333332</c:v>
                </c:pt>
                <c:pt idx="9">
                  <c:v>24666.666666666668</c:v>
                </c:pt>
                <c:pt idx="10">
                  <c:v>23916.666666666668</c:v>
                </c:pt>
                <c:pt idx="11">
                  <c:v>23500</c:v>
                </c:pt>
                <c:pt idx="12">
                  <c:v>23083.333333333332</c:v>
                </c:pt>
                <c:pt idx="13">
                  <c:v>22250</c:v>
                </c:pt>
                <c:pt idx="14">
                  <c:v>22250</c:v>
                </c:pt>
                <c:pt idx="15">
                  <c:v>21416.666666666668</c:v>
                </c:pt>
                <c:pt idx="16">
                  <c:v>17250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6-FB40-87AB-6E9DD8B6C8AE}"/>
            </c:ext>
          </c:extLst>
        </c:ser>
        <c:ser>
          <c:idx val="1"/>
          <c:order val="1"/>
          <c:tx>
            <c:strRef>
              <c:f>dashboard_data!$F$1</c:f>
              <c:strCache>
                <c:ptCount val="1"/>
                <c:pt idx="0">
                  <c:v>Monthly Expenditure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dashboard_data!$D$2:$D$18</c:f>
              <c:strCache>
                <c:ptCount val="17"/>
                <c:pt idx="0">
                  <c:v>National Capital Region</c:v>
                </c:pt>
                <c:pt idx="1">
                  <c:v>CALABARZON</c:v>
                </c:pt>
                <c:pt idx="2">
                  <c:v>Central Luzon</c:v>
                </c:pt>
                <c:pt idx="3">
                  <c:v>Cordillera Administrative Region</c:v>
                </c:pt>
                <c:pt idx="4">
                  <c:v>Ilocos Region</c:v>
                </c:pt>
                <c:pt idx="5">
                  <c:v>Davao Region</c:v>
                </c:pt>
                <c:pt idx="6">
                  <c:v>Central Visayas</c:v>
                </c:pt>
                <c:pt idx="7">
                  <c:v>Cagayan Valley</c:v>
                </c:pt>
                <c:pt idx="8">
                  <c:v>Western Visayas</c:v>
                </c:pt>
                <c:pt idx="9">
                  <c:v>Northern Mindanao</c:v>
                </c:pt>
                <c:pt idx="10">
                  <c:v>Bicol Region</c:v>
                </c:pt>
                <c:pt idx="11">
                  <c:v>SOCCSKSARGEN</c:v>
                </c:pt>
                <c:pt idx="12">
                  <c:v>Caraga</c:v>
                </c:pt>
                <c:pt idx="13">
                  <c:v>MIMAROPA Region</c:v>
                </c:pt>
                <c:pt idx="14">
                  <c:v>Eastern Visayas</c:v>
                </c:pt>
                <c:pt idx="15">
                  <c:v>Zamboanga Peninsula</c:v>
                </c:pt>
                <c:pt idx="16">
                  <c:v>Bangsamoro Autonomous Region in Muslim Mindanao</c:v>
                </c:pt>
              </c:strCache>
            </c:strRef>
          </c:cat>
          <c:val>
            <c:numRef>
              <c:f>dashboard_data!$F$2:$F$18</c:f>
              <c:numCache>
                <c:formatCode>0.00</c:formatCode>
                <c:ptCount val="17"/>
                <c:pt idx="0">
                  <c:v>32083.333333333332</c:v>
                </c:pt>
                <c:pt idx="1">
                  <c:v>25833.333333333332</c:v>
                </c:pt>
                <c:pt idx="2">
                  <c:v>24916.666666666668</c:v>
                </c:pt>
                <c:pt idx="3">
                  <c:v>20666.666666666668</c:v>
                </c:pt>
                <c:pt idx="4">
                  <c:v>19333.333333333332</c:v>
                </c:pt>
                <c:pt idx="5">
                  <c:v>17000</c:v>
                </c:pt>
                <c:pt idx="6">
                  <c:v>17500</c:v>
                </c:pt>
                <c:pt idx="7">
                  <c:v>17833.333333333332</c:v>
                </c:pt>
                <c:pt idx="8">
                  <c:v>18750</c:v>
                </c:pt>
                <c:pt idx="9">
                  <c:v>16916.666666666668</c:v>
                </c:pt>
                <c:pt idx="10">
                  <c:v>16916.666666666668</c:v>
                </c:pt>
                <c:pt idx="11">
                  <c:v>16833.333333333332</c:v>
                </c:pt>
                <c:pt idx="12">
                  <c:v>17750</c:v>
                </c:pt>
                <c:pt idx="13">
                  <c:v>15833.333333333334</c:v>
                </c:pt>
                <c:pt idx="14">
                  <c:v>16666.666666666668</c:v>
                </c:pt>
                <c:pt idx="15">
                  <c:v>16750</c:v>
                </c:pt>
                <c:pt idx="16">
                  <c:v>14083.333333333334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6-FB40-87AB-6E9DD8B6C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3583"/>
        <c:axId val="12403135"/>
      </c:barChart>
      <c:catAx>
        <c:axId val="124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135"/>
        <c:crosses val="autoZero"/>
        <c:auto val="1"/>
        <c:lblAlgn val="ctr"/>
        <c:lblOffset val="100"/>
        <c:noMultiLvlLbl val="0"/>
      </c:catAx>
      <c:valAx>
        <c:axId val="124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Wage-to-Family-Expenditure Proxy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dashboard_data!$I$1</c:f>
              <c:strCache>
                <c:ptCount val="1"/>
                <c:pt idx="0">
                  <c:v>Wage-to-Expenditure Proxy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dashboard_data!$H$2:$H$18</c:f>
              <c:strCache>
                <c:ptCount val="17"/>
                <c:pt idx="0">
                  <c:v>Central Visayas</c:v>
                </c:pt>
                <c:pt idx="1">
                  <c:v>Davao Region</c:v>
                </c:pt>
                <c:pt idx="2">
                  <c:v>National Capital Region</c:v>
                </c:pt>
                <c:pt idx="3">
                  <c:v>MIMAROPA Region</c:v>
                </c:pt>
                <c:pt idx="4">
                  <c:v>Western Visayas</c:v>
                </c:pt>
                <c:pt idx="5">
                  <c:v>Northern Mindanao</c:v>
                </c:pt>
                <c:pt idx="6">
                  <c:v>Cagayan Valley</c:v>
                </c:pt>
                <c:pt idx="7">
                  <c:v>Cordillera Administrative Region</c:v>
                </c:pt>
                <c:pt idx="8">
                  <c:v>Bangsamoro Autonomous Region in Muslim Mindanao</c:v>
                </c:pt>
                <c:pt idx="9">
                  <c:v>Bicol Region</c:v>
                </c:pt>
                <c:pt idx="10">
                  <c:v>Eastern Visayas</c:v>
                </c:pt>
                <c:pt idx="11">
                  <c:v>Caraga</c:v>
                </c:pt>
                <c:pt idx="12">
                  <c:v>SOCCSKSARGEN</c:v>
                </c:pt>
                <c:pt idx="13">
                  <c:v>Ilocos Region</c:v>
                </c:pt>
                <c:pt idx="14">
                  <c:v>CALABARZON</c:v>
                </c:pt>
                <c:pt idx="15">
                  <c:v>Central Luzon</c:v>
                </c:pt>
                <c:pt idx="16">
                  <c:v>Zamboanga Peninsula</c:v>
                </c:pt>
              </c:strCache>
            </c:strRef>
          </c:cat>
          <c:val>
            <c:numRef>
              <c:f>dashboard_data!$I$2:$I$18</c:f>
              <c:numCache>
                <c:formatCode>0.000</c:formatCode>
                <c:ptCount val="17"/>
                <c:pt idx="0">
                  <c:v>1.0904874285714286</c:v>
                </c:pt>
                <c:pt idx="1">
                  <c:v>1.0560476470588236</c:v>
                </c:pt>
                <c:pt idx="2">
                  <c:v>0.91355158441558437</c:v>
                </c:pt>
                <c:pt idx="3">
                  <c:v>0.89924526315789466</c:v>
                </c:pt>
                <c:pt idx="4">
                  <c:v>0.85887573333333334</c:v>
                </c:pt>
                <c:pt idx="5">
                  <c:v>0.85826305418719206</c:v>
                </c:pt>
                <c:pt idx="6">
                  <c:v>0.84968411214953277</c:v>
                </c:pt>
                <c:pt idx="7">
                  <c:v>0.84350467741935475</c:v>
                </c:pt>
                <c:pt idx="8">
                  <c:v>0.81621017751479286</c:v>
                </c:pt>
                <c:pt idx="9">
                  <c:v>0.8128924137931034</c:v>
                </c:pt>
                <c:pt idx="10">
                  <c:v>0.80802299999999994</c:v>
                </c:pt>
                <c:pt idx="11">
                  <c:v>0.80108563380281694</c:v>
                </c:pt>
                <c:pt idx="12">
                  <c:v>0.78047643564356439</c:v>
                </c:pt>
                <c:pt idx="13">
                  <c:v>0.76445689655172422</c:v>
                </c:pt>
                <c:pt idx="14">
                  <c:v>0.76302425806451613</c:v>
                </c:pt>
                <c:pt idx="15">
                  <c:v>0.73341872909698991</c:v>
                </c:pt>
                <c:pt idx="16">
                  <c:v>0.72957313432835824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6-2740-A5B9-7F4CD0FF6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002879"/>
        <c:axId val="25006911"/>
      </c:barChart>
      <c:catAx>
        <c:axId val="2500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6911"/>
        <c:crosses val="autoZero"/>
        <c:auto val="1"/>
        <c:lblAlgn val="ctr"/>
        <c:lblOffset val="100"/>
        <c:noMultiLvlLbl val="0"/>
      </c:catAx>
      <c:valAx>
        <c:axId val="2500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dashboard_data!$K$2</c:f>
              <c:strCache>
                <c:ptCount val="1"/>
                <c:pt idx="0">
                  <c:v>NCR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dashboard_data!$L$1:$N$1</c:f>
              <c:strCache>
                <c:ptCount val="3"/>
                <c:pt idx="0">
                  <c:v>Monthly Income</c:v>
                </c:pt>
                <c:pt idx="1">
                  <c:v>Monthly Expenditure</c:v>
                </c:pt>
                <c:pt idx="2">
                  <c:v>Monthly Savings</c:v>
                </c:pt>
              </c:strCache>
            </c:strRef>
          </c:cat>
          <c:val>
            <c:numRef>
              <c:f>dashboard_data!$L$2:$N$2</c:f>
              <c:numCache>
                <c:formatCode>General</c:formatCode>
                <c:ptCount val="3"/>
                <c:pt idx="0">
                  <c:v>42833.33</c:v>
                </c:pt>
                <c:pt idx="1">
                  <c:v>32083.33</c:v>
                </c:pt>
                <c:pt idx="2">
                  <c:v>10666.67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2-E342-B568-AC5863A85361}"/>
            </c:ext>
          </c:extLst>
        </c:ser>
        <c:ser>
          <c:idx val="1"/>
          <c:order val="1"/>
          <c:tx>
            <c:strRef>
              <c:f>dashboard_data!$K$3</c:f>
              <c:strCache>
                <c:ptCount val="1"/>
                <c:pt idx="0">
                  <c:v>Other Regions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dashboard_data!$L$1:$N$1</c:f>
              <c:strCache>
                <c:ptCount val="3"/>
                <c:pt idx="0">
                  <c:v>Monthly Income</c:v>
                </c:pt>
                <c:pt idx="1">
                  <c:v>Monthly Expenditure</c:v>
                </c:pt>
                <c:pt idx="2">
                  <c:v>Monthly Savings</c:v>
                </c:pt>
              </c:strCache>
            </c:strRef>
          </c:cat>
          <c:val>
            <c:numRef>
              <c:f>dashboard_data!$L$3:$N$3</c:f>
              <c:numCache>
                <c:formatCode>General</c:formatCode>
                <c:ptCount val="3"/>
                <c:pt idx="0">
                  <c:v>25447.919999999998</c:v>
                </c:pt>
                <c:pt idx="1">
                  <c:v>18348.96</c:v>
                </c:pt>
                <c:pt idx="2">
                  <c:v>7104.17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2-E342-B568-AC5863A8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7039"/>
        <c:axId val="12589183"/>
      </c:barChart>
      <c:catAx>
        <c:axId val="1448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9183"/>
        <c:crosses val="autoZero"/>
        <c:auto val="1"/>
        <c:lblAlgn val="ctr"/>
        <c:lblOffset val="100"/>
        <c:noMultiLvlLbl val="0"/>
      </c:catAx>
      <c:valAx>
        <c:axId val="125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18</xdr:row>
      <xdr:rowOff>146050</xdr:rowOff>
    </xdr:from>
    <xdr:to>
      <xdr:col>1</xdr:col>
      <xdr:colOff>825500</xdr:colOff>
      <xdr:row>31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9E675-553B-F559-9D6C-41F686E0B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25400</xdr:colOff>
      <xdr:row>18</xdr:row>
      <xdr:rowOff>95250</xdr:rowOff>
    </xdr:from>
    <xdr:to>
      <xdr:col>5</xdr:col>
      <xdr:colOff>1308100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00695A-B68B-6223-828D-99A7064D0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63500</xdr:colOff>
      <xdr:row>18</xdr:row>
      <xdr:rowOff>95250</xdr:rowOff>
    </xdr:from>
    <xdr:to>
      <xdr:col>8</xdr:col>
      <xdr:colOff>1689100</xdr:colOff>
      <xdr:row>32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98AE2A-E90B-2C12-5D9B-8849455E3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76200</xdr:colOff>
      <xdr:row>3</xdr:row>
      <xdr:rowOff>133350</xdr:rowOff>
    </xdr:from>
    <xdr:to>
      <xdr:col>13</xdr:col>
      <xdr:colOff>1028700</xdr:colOff>
      <xdr:row>16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03A003-AF69-E464-08A1-5F5E96E06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43DD83-86E8-9145-855B-FA5F68903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12700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F52902-E6A9-284E-AA78-21FB473C2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0B4F76-451D-1D46-B30F-9D5386B6A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3C89F5-8853-7540-8EC0-31D482A15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3C7E9-D053-1840-8610-F717A8C66E55}" name="tbl_region_affordability" displayName="tbl_region_affordability" ref="A1:V18" totalsRowShown="0" headerRowDxfId="17">
  <autoFilter ref="A1:V18" xr:uid="{D713C7E9-D053-1840-8610-F717A8C66E55}"/>
  <tableColumns count="22">
    <tableColumn id="1" xr3:uid="{2E0E0573-BF8E-2149-B2AE-75EBBFA465C4}" name="sort_order"/>
    <tableColumn id="2" xr3:uid="{D5B460F0-B785-734B-8BCB-E4F120119F7C}" name="region_code"/>
    <tableColumn id="3" xr3:uid="{FCEC3D80-77F2-2D4C-AEF5-3A4FCDFDC6F2}" name="region_name"/>
    <tableColumn id="4" xr3:uid="{D2C5A80E-C62B-2F4D-991D-F56AB306989A}" name="fies_year"/>
    <tableColumn id="5" xr3:uid="{29EA6889-8E14-0C47-B77B-1FD15C662E85}" name="ows_year"/>
    <tableColumn id="6" xr3:uid="{16E41D9F-7587-5B4B-8505-31ED17F2CB34}" name="number_of_families" dataDxfId="16"/>
    <tableColumn id="7" xr3:uid="{4D870A05-FB62-8740-B83E-B1F8310F92FE}" name="avg_monthly_family_income_php" dataDxfId="15"/>
    <tableColumn id="8" xr3:uid="{B4AB582C-5300-424E-9855-0FCAAEA1EB06}" name="avg_monthly_family_expenditure_php" dataDxfId="14"/>
    <tableColumn id="9" xr3:uid="{361AD03A-8564-AF4A-90A8-498A1FC5A25C}" name="avg_monthly_family_savings_php" dataDxfId="13"/>
    <tableColumn id="10" xr3:uid="{BD176D3A-592A-8C40-A1BF-332FCDED8D57}" name="savings_rate" dataDxfId="12"/>
    <tableColumn id="11" xr3:uid="{FAB2A1AD-B5A0-5946-8639-7E1A5999E53D}" name="income_to_expenditure_ratio" dataDxfId="11"/>
    <tableColumn id="12" xr3:uid="{1E35B1B0-641D-E945-9C49-64DDB0847292}" name="avg_monthly_basic_pay_php" dataDxfId="10"/>
    <tableColumn id="13" xr3:uid="{74E54B59-4B92-5949-8248-8926C86FE522}" name="avg_monthly_allowance_php" dataDxfId="9"/>
    <tableColumn id="14" xr3:uid="{0A00B0AB-E52C-5143-A38A-5AA75C5DB05B}" name="avg_monthly_wage_rate_php" dataDxfId="8"/>
    <tableColumn id="15" xr3:uid="{85F075B3-0F64-4F4C-8F90-3799E4E0B3C9}" name="wage_to_family_expenditure_ratio_proxy" dataDxfId="7"/>
    <tableColumn id="16" xr3:uid="{89F84B06-DD7D-FB4D-AB05-1BD288595B1A}" name="wage_minus_family_expenditure_proxy_php" dataDxfId="6"/>
    <tableColumn id="17" xr3:uid="{19A0E533-BF15-E44C-ABEC-86997B741741}" name="savings_rate_rank" dataDxfId="5"/>
    <tableColumn id="18" xr3:uid="{2C6E9FF5-0270-794C-982E-3AB1402A35FB}" name="income_expenditure_rank" dataDxfId="4"/>
    <tableColumn id="19" xr3:uid="{F202A12E-B5E2-744E-B6FC-02478CC4AAB9}" name="wage_expenditure_proxy_rank" dataDxfId="3"/>
    <tableColumn id="20" xr3:uid="{577C9EC4-EC18-4F4B-B7E2-8A089DD0C321}" name="fies_match_count" dataDxfId="2"/>
    <tableColumn id="21" xr3:uid="{77ACD6A7-CD01-EE4A-90E5-282DD80FB36E}" name="ows_match_count" dataDxfId="1"/>
    <tableColumn id="22" xr3:uid="{5981DCE8-60B2-6944-BE1E-875D59BFBDDD}" name="match_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9B73-66FE-9543-B07D-F7C5E6A6FFD4}">
  <dimension ref="A1:L50"/>
  <sheetViews>
    <sheetView workbookViewId="0">
      <selection activeCell="L9" sqref="L9"/>
    </sheetView>
  </sheetViews>
  <sheetFormatPr baseColWidth="10" defaultRowHeight="16" x14ac:dyDescent="0.2"/>
  <sheetData>
    <row r="1" spans="1:12" x14ac:dyDescent="0.2">
      <c r="A1" t="s">
        <v>0</v>
      </c>
    </row>
    <row r="2" spans="1:12" x14ac:dyDescent="0.2">
      <c r="A2" t="s">
        <v>1</v>
      </c>
    </row>
    <row r="4" spans="1:12" x14ac:dyDescent="0.2">
      <c r="A4" t="s">
        <v>2</v>
      </c>
      <c r="B4" s="1" t="s">
        <v>3</v>
      </c>
      <c r="C4" t="s">
        <v>4</v>
      </c>
      <c r="D4" s="1" t="s">
        <v>5</v>
      </c>
      <c r="E4" t="s">
        <v>6</v>
      </c>
      <c r="G4" s="1" t="s">
        <v>3</v>
      </c>
      <c r="H4" t="s">
        <v>4</v>
      </c>
      <c r="J4" t="s">
        <v>7</v>
      </c>
      <c r="L4" t="s">
        <v>6</v>
      </c>
    </row>
    <row r="7" spans="1:12" x14ac:dyDescent="0.2">
      <c r="A7">
        <v>2015</v>
      </c>
      <c r="B7" s="2">
        <v>22976</v>
      </c>
      <c r="C7">
        <v>268</v>
      </c>
      <c r="D7">
        <v>216</v>
      </c>
      <c r="E7">
        <v>52</v>
      </c>
      <c r="F7">
        <v>2021</v>
      </c>
      <c r="G7" s="2">
        <v>26397</v>
      </c>
      <c r="H7">
        <v>307</v>
      </c>
      <c r="J7">
        <v>229</v>
      </c>
      <c r="L7">
        <v>78</v>
      </c>
    </row>
    <row r="9" spans="1:12" x14ac:dyDescent="0.2">
      <c r="A9" t="s">
        <v>8</v>
      </c>
      <c r="B9" s="2">
        <v>3096</v>
      </c>
      <c r="C9">
        <v>425</v>
      </c>
      <c r="D9">
        <v>349</v>
      </c>
      <c r="E9">
        <v>76</v>
      </c>
      <c r="G9" s="2">
        <v>3512</v>
      </c>
      <c r="H9">
        <v>418</v>
      </c>
      <c r="J9">
        <v>322</v>
      </c>
    </row>
    <row r="10" spans="1:12" x14ac:dyDescent="0.2">
      <c r="A10" t="s">
        <v>9</v>
      </c>
      <c r="B10">
        <v>396</v>
      </c>
      <c r="C10">
        <v>282</v>
      </c>
      <c r="D10">
        <v>209</v>
      </c>
      <c r="E10">
        <v>73</v>
      </c>
      <c r="G10">
        <v>447</v>
      </c>
      <c r="H10">
        <v>350</v>
      </c>
      <c r="J10">
        <v>243</v>
      </c>
      <c r="L10">
        <v>108</v>
      </c>
    </row>
    <row r="11" spans="1:12" x14ac:dyDescent="0.2">
      <c r="A11" t="s">
        <v>10</v>
      </c>
      <c r="B11" s="2">
        <v>1152</v>
      </c>
      <c r="C11">
        <v>238</v>
      </c>
      <c r="D11">
        <v>182</v>
      </c>
      <c r="E11">
        <v>56</v>
      </c>
      <c r="G11" s="2">
        <v>1270</v>
      </c>
      <c r="H11">
        <v>305</v>
      </c>
      <c r="J11">
        <v>210</v>
      </c>
      <c r="L11">
        <v>95</v>
      </c>
    </row>
    <row r="12" spans="1:12" x14ac:dyDescent="0.2">
      <c r="A12" t="s">
        <v>11</v>
      </c>
      <c r="B12">
        <v>805</v>
      </c>
      <c r="C12">
        <v>237</v>
      </c>
      <c r="D12">
        <v>162</v>
      </c>
      <c r="E12">
        <v>75</v>
      </c>
      <c r="G12">
        <v>898</v>
      </c>
      <c r="H12">
        <v>290</v>
      </c>
      <c r="J12">
        <v>201</v>
      </c>
      <c r="L12">
        <v>89</v>
      </c>
    </row>
    <row r="13" spans="1:12" x14ac:dyDescent="0.2">
      <c r="A13" t="s">
        <v>12</v>
      </c>
      <c r="B13" s="2">
        <v>2567</v>
      </c>
      <c r="C13">
        <v>299</v>
      </c>
      <c r="D13">
        <v>239</v>
      </c>
      <c r="E13">
        <v>60</v>
      </c>
      <c r="G13" s="2">
        <v>2991</v>
      </c>
      <c r="H13">
        <v>329</v>
      </c>
      <c r="J13">
        <v>258</v>
      </c>
      <c r="L13">
        <v>70</v>
      </c>
    </row>
    <row r="14" spans="1:12" x14ac:dyDescent="0.2">
      <c r="A14" t="s">
        <v>13</v>
      </c>
      <c r="B14" s="2">
        <v>3395</v>
      </c>
      <c r="C14">
        <v>312</v>
      </c>
      <c r="D14">
        <v>269</v>
      </c>
      <c r="E14">
        <v>43</v>
      </c>
      <c r="G14" s="2">
        <v>4082</v>
      </c>
      <c r="H14">
        <v>361</v>
      </c>
      <c r="J14">
        <v>281</v>
      </c>
      <c r="L14">
        <v>80</v>
      </c>
    </row>
    <row r="15" spans="1:12" x14ac:dyDescent="0.2">
      <c r="A15" t="s">
        <v>14</v>
      </c>
      <c r="B15">
        <v>683</v>
      </c>
      <c r="C15">
        <v>222</v>
      </c>
      <c r="D15">
        <v>161</v>
      </c>
      <c r="E15">
        <v>61</v>
      </c>
      <c r="G15">
        <v>787</v>
      </c>
      <c r="H15">
        <v>255</v>
      </c>
      <c r="J15">
        <v>178</v>
      </c>
      <c r="L15">
        <v>77</v>
      </c>
    </row>
    <row r="16" spans="1:12" x14ac:dyDescent="0.2">
      <c r="A16" t="s">
        <v>15</v>
      </c>
      <c r="B16" s="2">
        <v>1216</v>
      </c>
      <c r="C16">
        <v>187</v>
      </c>
      <c r="D16">
        <v>160</v>
      </c>
      <c r="E16">
        <v>27</v>
      </c>
      <c r="G16" s="2">
        <v>1338</v>
      </c>
      <c r="H16">
        <v>252</v>
      </c>
      <c r="J16">
        <v>190</v>
      </c>
      <c r="L16">
        <v>62</v>
      </c>
    </row>
    <row r="17" spans="1:12" x14ac:dyDescent="0.2">
      <c r="A17" t="s">
        <v>16</v>
      </c>
      <c r="B17" s="2">
        <v>1717</v>
      </c>
      <c r="C17">
        <v>226</v>
      </c>
      <c r="D17">
        <v>176</v>
      </c>
      <c r="E17">
        <v>50</v>
      </c>
      <c r="G17" s="2">
        <v>1945</v>
      </c>
      <c r="H17">
        <v>268</v>
      </c>
      <c r="J17">
        <v>200</v>
      </c>
      <c r="L17">
        <v>68</v>
      </c>
    </row>
    <row r="18" spans="1:12" x14ac:dyDescent="0.2">
      <c r="A18" t="s">
        <v>17</v>
      </c>
      <c r="B18" s="2">
        <v>1699</v>
      </c>
      <c r="C18">
        <v>239</v>
      </c>
      <c r="D18">
        <v>193</v>
      </c>
      <c r="E18">
        <v>46</v>
      </c>
      <c r="G18" s="2">
        <v>1970</v>
      </c>
      <c r="H18">
        <v>285</v>
      </c>
      <c r="J18">
        <v>194</v>
      </c>
      <c r="L18">
        <v>91</v>
      </c>
    </row>
    <row r="19" spans="1:12" x14ac:dyDescent="0.2">
      <c r="A19" t="s">
        <v>18</v>
      </c>
      <c r="B19">
        <v>986</v>
      </c>
      <c r="C19">
        <v>197</v>
      </c>
      <c r="D19">
        <v>156</v>
      </c>
      <c r="E19">
        <v>41</v>
      </c>
      <c r="G19" s="2">
        <v>1134</v>
      </c>
      <c r="H19">
        <v>243</v>
      </c>
      <c r="J19">
        <v>189</v>
      </c>
      <c r="L19">
        <v>54</v>
      </c>
    </row>
    <row r="20" spans="1:12" x14ac:dyDescent="0.2">
      <c r="A20" t="s">
        <v>19</v>
      </c>
      <c r="B20">
        <v>799</v>
      </c>
      <c r="C20">
        <v>190</v>
      </c>
      <c r="D20">
        <v>144</v>
      </c>
      <c r="E20">
        <v>46</v>
      </c>
      <c r="G20">
        <v>874</v>
      </c>
      <c r="H20">
        <v>239</v>
      </c>
      <c r="J20">
        <v>166</v>
      </c>
      <c r="L20">
        <v>72</v>
      </c>
    </row>
    <row r="21" spans="1:12" x14ac:dyDescent="0.2">
      <c r="A21" t="s">
        <v>20</v>
      </c>
      <c r="B21" s="2">
        <v>1043</v>
      </c>
      <c r="C21">
        <v>221</v>
      </c>
      <c r="D21">
        <v>161</v>
      </c>
      <c r="E21">
        <v>60</v>
      </c>
      <c r="G21" s="2">
        <v>1191</v>
      </c>
      <c r="H21">
        <v>257</v>
      </c>
      <c r="J21">
        <v>176</v>
      </c>
      <c r="L21">
        <v>82</v>
      </c>
    </row>
    <row r="22" spans="1:12" x14ac:dyDescent="0.2">
      <c r="A22" t="s">
        <v>21</v>
      </c>
      <c r="B22" s="2">
        <v>1177</v>
      </c>
      <c r="C22">
        <v>247</v>
      </c>
      <c r="D22">
        <v>190</v>
      </c>
      <c r="E22">
        <v>57</v>
      </c>
      <c r="G22" s="2">
        <v>1393</v>
      </c>
      <c r="H22">
        <v>282</v>
      </c>
      <c r="J22">
        <v>184</v>
      </c>
      <c r="L22">
        <v>98</v>
      </c>
    </row>
    <row r="23" spans="1:12" x14ac:dyDescent="0.2">
      <c r="A23" t="s">
        <v>22</v>
      </c>
      <c r="B23" s="2">
        <v>1051</v>
      </c>
      <c r="C23">
        <v>188</v>
      </c>
      <c r="D23">
        <v>162</v>
      </c>
      <c r="E23">
        <v>26</v>
      </c>
      <c r="G23" s="2">
        <v>1206</v>
      </c>
      <c r="H23">
        <v>235</v>
      </c>
      <c r="J23">
        <v>174</v>
      </c>
      <c r="L23">
        <v>60</v>
      </c>
    </row>
    <row r="24" spans="1:12" x14ac:dyDescent="0.2">
      <c r="A24" t="s">
        <v>23</v>
      </c>
      <c r="B24">
        <v>574</v>
      </c>
      <c r="C24">
        <v>198</v>
      </c>
      <c r="D24">
        <v>159</v>
      </c>
      <c r="E24">
        <v>39</v>
      </c>
      <c r="G24">
        <v>664</v>
      </c>
      <c r="H24">
        <v>250</v>
      </c>
      <c r="J24">
        <v>198</v>
      </c>
      <c r="L24">
        <v>52</v>
      </c>
    </row>
    <row r="25" spans="1:12" x14ac:dyDescent="0.2">
      <c r="A25" t="s">
        <v>24</v>
      </c>
      <c r="B25">
        <v>620</v>
      </c>
      <c r="C25">
        <v>139</v>
      </c>
      <c r="D25">
        <v>111</v>
      </c>
      <c r="E25">
        <v>28</v>
      </c>
      <c r="G25">
        <v>696</v>
      </c>
      <c r="H25">
        <v>185</v>
      </c>
      <c r="J25">
        <v>150</v>
      </c>
      <c r="L25">
        <v>35</v>
      </c>
    </row>
    <row r="27" spans="1:12" x14ac:dyDescent="0.2">
      <c r="A27">
        <v>2018</v>
      </c>
      <c r="B27" s="2">
        <v>24747</v>
      </c>
      <c r="C27">
        <v>313</v>
      </c>
      <c r="D27">
        <v>239</v>
      </c>
      <c r="E27">
        <v>75</v>
      </c>
      <c r="F27">
        <v>2023</v>
      </c>
      <c r="G27" s="2">
        <v>27480</v>
      </c>
      <c r="H27">
        <v>353</v>
      </c>
      <c r="J27">
        <v>258</v>
      </c>
      <c r="L27">
        <v>95</v>
      </c>
    </row>
    <row r="29" spans="1:12" x14ac:dyDescent="0.2">
      <c r="A29" t="s">
        <v>8</v>
      </c>
      <c r="B29" s="2">
        <v>3318</v>
      </c>
      <c r="C29">
        <v>460</v>
      </c>
      <c r="D29">
        <v>369</v>
      </c>
      <c r="E29">
        <v>92</v>
      </c>
      <c r="G29" s="2">
        <v>3633</v>
      </c>
      <c r="H29">
        <v>514</v>
      </c>
      <c r="J29">
        <v>385</v>
      </c>
      <c r="L29">
        <v>128</v>
      </c>
    </row>
    <row r="30" spans="1:12" x14ac:dyDescent="0.2">
      <c r="A30" t="s">
        <v>9</v>
      </c>
      <c r="B30">
        <v>422</v>
      </c>
      <c r="C30">
        <v>354</v>
      </c>
      <c r="D30">
        <v>230</v>
      </c>
      <c r="E30">
        <v>124</v>
      </c>
      <c r="G30">
        <v>464</v>
      </c>
      <c r="H30">
        <v>359</v>
      </c>
      <c r="J30">
        <v>248</v>
      </c>
      <c r="L30">
        <v>111</v>
      </c>
    </row>
    <row r="31" spans="1:12" x14ac:dyDescent="0.2">
      <c r="A31" t="s">
        <v>10</v>
      </c>
      <c r="B31" s="2">
        <v>1213</v>
      </c>
      <c r="C31">
        <v>287</v>
      </c>
      <c r="D31">
        <v>205</v>
      </c>
      <c r="E31">
        <v>82</v>
      </c>
      <c r="G31" s="2">
        <v>1307</v>
      </c>
      <c r="H31">
        <v>340</v>
      </c>
      <c r="J31">
        <v>232</v>
      </c>
      <c r="L31">
        <v>107</v>
      </c>
    </row>
    <row r="32" spans="1:12" x14ac:dyDescent="0.2">
      <c r="A32" t="s">
        <v>11</v>
      </c>
      <c r="B32">
        <v>853</v>
      </c>
      <c r="C32">
        <v>265</v>
      </c>
      <c r="D32">
        <v>174</v>
      </c>
      <c r="E32">
        <v>91</v>
      </c>
      <c r="G32">
        <v>926</v>
      </c>
      <c r="H32">
        <v>311</v>
      </c>
      <c r="J32">
        <v>214</v>
      </c>
      <c r="L32">
        <v>97</v>
      </c>
    </row>
    <row r="33" spans="1:12" x14ac:dyDescent="0.2">
      <c r="A33" t="s">
        <v>12</v>
      </c>
      <c r="B33" s="2">
        <v>2783</v>
      </c>
      <c r="C33">
        <v>334</v>
      </c>
      <c r="D33">
        <v>270</v>
      </c>
      <c r="E33">
        <v>64</v>
      </c>
      <c r="G33" s="2">
        <v>3123</v>
      </c>
      <c r="H33">
        <v>375</v>
      </c>
      <c r="J33">
        <v>299</v>
      </c>
      <c r="L33">
        <v>77</v>
      </c>
    </row>
    <row r="34" spans="1:12" x14ac:dyDescent="0.2">
      <c r="A34" t="s">
        <v>13</v>
      </c>
      <c r="B34" s="2">
        <v>3760</v>
      </c>
      <c r="C34">
        <v>384</v>
      </c>
      <c r="D34">
        <v>305</v>
      </c>
      <c r="E34">
        <v>80</v>
      </c>
      <c r="G34" s="2">
        <v>4304</v>
      </c>
      <c r="H34">
        <v>427</v>
      </c>
      <c r="J34">
        <v>310</v>
      </c>
      <c r="L34">
        <v>116</v>
      </c>
    </row>
    <row r="35" spans="1:12" x14ac:dyDescent="0.2">
      <c r="A35" t="s">
        <v>14</v>
      </c>
      <c r="B35">
        <v>737</v>
      </c>
      <c r="C35">
        <v>257</v>
      </c>
      <c r="D35">
        <v>175</v>
      </c>
      <c r="E35">
        <v>83</v>
      </c>
      <c r="G35">
        <v>819</v>
      </c>
      <c r="H35">
        <v>267</v>
      </c>
      <c r="J35">
        <v>190</v>
      </c>
      <c r="L35">
        <v>78</v>
      </c>
    </row>
    <row r="36" spans="1:12" x14ac:dyDescent="0.2">
      <c r="A36" t="s">
        <v>15</v>
      </c>
      <c r="B36" s="2">
        <v>1280</v>
      </c>
      <c r="C36">
        <v>235</v>
      </c>
      <c r="D36">
        <v>193</v>
      </c>
      <c r="E36">
        <v>42</v>
      </c>
      <c r="G36" s="2">
        <v>1374</v>
      </c>
      <c r="H36">
        <v>287</v>
      </c>
      <c r="J36">
        <v>203</v>
      </c>
      <c r="L36">
        <v>85</v>
      </c>
    </row>
    <row r="37" spans="1:12" x14ac:dyDescent="0.2">
      <c r="A37" t="s">
        <v>16</v>
      </c>
      <c r="B37" s="2">
        <v>1832</v>
      </c>
      <c r="C37">
        <v>266</v>
      </c>
      <c r="D37">
        <v>202</v>
      </c>
      <c r="E37">
        <v>63</v>
      </c>
      <c r="G37" s="2">
        <v>2019</v>
      </c>
      <c r="H37">
        <v>298</v>
      </c>
      <c r="J37">
        <v>225</v>
      </c>
      <c r="L37">
        <v>73</v>
      </c>
    </row>
    <row r="38" spans="1:12" x14ac:dyDescent="0.2">
      <c r="A38" t="s">
        <v>17</v>
      </c>
      <c r="B38" s="2">
        <v>1839</v>
      </c>
      <c r="C38">
        <v>308</v>
      </c>
      <c r="D38">
        <v>204</v>
      </c>
      <c r="E38">
        <v>104</v>
      </c>
      <c r="G38" s="2">
        <v>2053</v>
      </c>
      <c r="H38">
        <v>317</v>
      </c>
      <c r="J38">
        <v>210</v>
      </c>
      <c r="L38">
        <v>107</v>
      </c>
    </row>
    <row r="39" spans="1:12" x14ac:dyDescent="0.2">
      <c r="A39" t="s">
        <v>18</v>
      </c>
      <c r="B39" s="2">
        <v>1059</v>
      </c>
      <c r="C39">
        <v>227</v>
      </c>
      <c r="D39">
        <v>179</v>
      </c>
      <c r="E39">
        <v>48</v>
      </c>
      <c r="G39" s="2">
        <v>1185</v>
      </c>
      <c r="H39">
        <v>267</v>
      </c>
      <c r="J39">
        <v>200</v>
      </c>
      <c r="L39">
        <v>67</v>
      </c>
    </row>
    <row r="40" spans="1:12" x14ac:dyDescent="0.2">
      <c r="A40" t="s">
        <v>19</v>
      </c>
      <c r="B40">
        <v>839</v>
      </c>
      <c r="C40">
        <v>228</v>
      </c>
      <c r="D40">
        <v>162</v>
      </c>
      <c r="E40">
        <v>65</v>
      </c>
      <c r="G40">
        <v>897</v>
      </c>
      <c r="H40">
        <v>257</v>
      </c>
      <c r="J40">
        <v>201</v>
      </c>
      <c r="L40">
        <v>56</v>
      </c>
    </row>
    <row r="41" spans="1:12" x14ac:dyDescent="0.2">
      <c r="A41" t="s">
        <v>20</v>
      </c>
      <c r="B41" s="2">
        <v>1120</v>
      </c>
      <c r="C41">
        <v>250</v>
      </c>
      <c r="D41">
        <v>175</v>
      </c>
      <c r="E41">
        <v>76</v>
      </c>
      <c r="G41" s="2">
        <v>1236</v>
      </c>
      <c r="H41">
        <v>296</v>
      </c>
      <c r="J41">
        <v>203</v>
      </c>
      <c r="L41">
        <v>94</v>
      </c>
    </row>
    <row r="42" spans="1:12" x14ac:dyDescent="0.2">
      <c r="A42" t="s">
        <v>21</v>
      </c>
      <c r="B42" s="2">
        <v>1284</v>
      </c>
      <c r="C42">
        <v>270</v>
      </c>
      <c r="D42">
        <v>192</v>
      </c>
      <c r="E42">
        <v>78</v>
      </c>
      <c r="G42" s="2">
        <v>1469</v>
      </c>
      <c r="H42">
        <v>319</v>
      </c>
      <c r="J42">
        <v>204</v>
      </c>
      <c r="L42">
        <v>115</v>
      </c>
    </row>
    <row r="43" spans="1:12" x14ac:dyDescent="0.2">
      <c r="A43" t="s">
        <v>22</v>
      </c>
      <c r="B43" s="2">
        <v>1131</v>
      </c>
      <c r="C43">
        <v>242</v>
      </c>
      <c r="D43">
        <v>181</v>
      </c>
      <c r="E43">
        <v>61</v>
      </c>
      <c r="G43" s="2">
        <v>1138</v>
      </c>
      <c r="H43">
        <v>282</v>
      </c>
      <c r="J43">
        <v>202</v>
      </c>
      <c r="L43">
        <v>80</v>
      </c>
    </row>
    <row r="44" spans="1:12" x14ac:dyDescent="0.2">
      <c r="A44" t="s">
        <v>23</v>
      </c>
      <c r="B44">
        <v>619</v>
      </c>
      <c r="C44">
        <v>243</v>
      </c>
      <c r="D44">
        <v>187</v>
      </c>
      <c r="E44">
        <v>56</v>
      </c>
      <c r="G44">
        <v>694</v>
      </c>
      <c r="H44">
        <v>277</v>
      </c>
      <c r="J44">
        <v>213</v>
      </c>
      <c r="L44">
        <v>63</v>
      </c>
    </row>
    <row r="45" spans="1:12" x14ac:dyDescent="0.2">
      <c r="A45" t="s">
        <v>24</v>
      </c>
      <c r="B45">
        <v>657</v>
      </c>
      <c r="C45">
        <v>161</v>
      </c>
      <c r="D45">
        <v>127</v>
      </c>
      <c r="E45">
        <v>34</v>
      </c>
      <c r="G45">
        <v>837</v>
      </c>
      <c r="H45">
        <v>207</v>
      </c>
      <c r="J45">
        <v>169</v>
      </c>
      <c r="L45">
        <v>38</v>
      </c>
    </row>
    <row r="48" spans="1:12" x14ac:dyDescent="0.2">
      <c r="A48" t="s">
        <v>25</v>
      </c>
    </row>
    <row r="50" spans="1:1" x14ac:dyDescent="0.2">
      <c r="A5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70A2-38E9-6747-A899-F63E7082D133}">
  <dimension ref="A1:Q70"/>
  <sheetViews>
    <sheetView workbookViewId="0">
      <pane ySplit="1" topLeftCell="A2" activePane="bottomLeft" state="frozen"/>
      <selection pane="bottomLeft" activeCell="P1" sqref="P1:P1048576"/>
    </sheetView>
  </sheetViews>
  <sheetFormatPr baseColWidth="10" defaultRowHeight="16" x14ac:dyDescent="0.2"/>
  <cols>
    <col min="2" max="2" width="21" bestFit="1" customWidth="1"/>
    <col min="3" max="3" width="11" bestFit="1" customWidth="1"/>
    <col min="4" max="4" width="44.6640625" bestFit="1" customWidth="1"/>
    <col min="5" max="5" width="26.33203125" style="5" bestFit="1" customWidth="1"/>
    <col min="6" max="6" width="29.6640625" style="5" bestFit="1" customWidth="1"/>
    <col min="7" max="7" width="33.5" style="5" bestFit="1" customWidth="1"/>
    <col min="8" max="8" width="29.5" style="5" bestFit="1" customWidth="1"/>
    <col min="9" max="9" width="17" style="5" bestFit="1" customWidth="1"/>
    <col min="10" max="10" width="21" style="5" bestFit="1" customWidth="1"/>
    <col min="11" max="11" width="24.83203125" style="5" bestFit="1" customWidth="1"/>
    <col min="12" max="12" width="20.83203125" style="5" bestFit="1" customWidth="1"/>
    <col min="13" max="13" width="22.1640625" style="5" bestFit="1" customWidth="1"/>
    <col min="14" max="14" width="25.83203125" style="5" bestFit="1" customWidth="1"/>
    <col min="15" max="15" width="22" style="5" bestFit="1" customWidth="1"/>
    <col min="16" max="16" width="11.1640625" style="24" bestFit="1" customWidth="1"/>
    <col min="17" max="17" width="25.1640625" style="5" bestFit="1" customWidth="1"/>
  </cols>
  <sheetData>
    <row r="1" spans="1:17" x14ac:dyDescent="0.2">
      <c r="A1" s="3" t="s">
        <v>27</v>
      </c>
      <c r="B1" s="3" t="s">
        <v>43</v>
      </c>
      <c r="C1" s="3" t="s">
        <v>28</v>
      </c>
      <c r="D1" s="3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25" t="s">
        <v>41</v>
      </c>
      <c r="Q1" s="4" t="s">
        <v>42</v>
      </c>
    </row>
    <row r="2" spans="1:17" x14ac:dyDescent="0.2">
      <c r="A2">
        <v>2015</v>
      </c>
      <c r="B2" t="s">
        <v>8</v>
      </c>
      <c r="C2" t="s">
        <v>8</v>
      </c>
      <c r="D2" t="s">
        <v>51</v>
      </c>
      <c r="E2" s="5">
        <v>3096</v>
      </c>
      <c r="F2" s="5">
        <v>425</v>
      </c>
      <c r="G2" s="5">
        <v>349</v>
      </c>
      <c r="H2" s="5">
        <v>76</v>
      </c>
      <c r="I2" s="5">
        <v>3096000</v>
      </c>
      <c r="J2" s="5">
        <v>425000</v>
      </c>
      <c r="K2" s="5">
        <v>349000</v>
      </c>
      <c r="L2" s="5">
        <v>76000</v>
      </c>
      <c r="M2" s="5">
        <v>35416.666666666664</v>
      </c>
      <c r="N2" s="5">
        <v>29083.333333333332</v>
      </c>
      <c r="O2" s="5">
        <v>6333.333333333333</v>
      </c>
      <c r="P2" s="24">
        <v>0.17882352941176471</v>
      </c>
      <c r="Q2" s="5">
        <v>1.2177650429799427</v>
      </c>
    </row>
    <row r="3" spans="1:17" x14ac:dyDescent="0.2">
      <c r="A3">
        <v>2015</v>
      </c>
      <c r="B3" t="s">
        <v>9</v>
      </c>
      <c r="C3" t="s">
        <v>9</v>
      </c>
      <c r="D3" t="s">
        <v>52</v>
      </c>
      <c r="E3" s="5">
        <v>396</v>
      </c>
      <c r="F3" s="5">
        <v>282</v>
      </c>
      <c r="G3" s="5">
        <v>209</v>
      </c>
      <c r="H3" s="5">
        <v>73</v>
      </c>
      <c r="I3" s="5">
        <v>396000</v>
      </c>
      <c r="J3" s="5">
        <v>282000</v>
      </c>
      <c r="K3" s="5">
        <v>209000</v>
      </c>
      <c r="L3" s="5">
        <v>73000</v>
      </c>
      <c r="M3" s="5">
        <v>23500</v>
      </c>
      <c r="N3" s="5">
        <v>17416.666666666668</v>
      </c>
      <c r="O3" s="5">
        <v>6083.333333333333</v>
      </c>
      <c r="P3" s="24">
        <v>0.25886524822695034</v>
      </c>
      <c r="Q3" s="5">
        <v>1.3492822966507176</v>
      </c>
    </row>
    <row r="4" spans="1:17" x14ac:dyDescent="0.2">
      <c r="A4">
        <v>2015</v>
      </c>
      <c r="B4" t="s">
        <v>10</v>
      </c>
      <c r="C4" t="s">
        <v>87</v>
      </c>
      <c r="D4" t="s">
        <v>88</v>
      </c>
      <c r="E4" s="5">
        <v>1152</v>
      </c>
      <c r="F4" s="5">
        <v>238</v>
      </c>
      <c r="G4" s="5">
        <v>182</v>
      </c>
      <c r="H4" s="5">
        <v>56</v>
      </c>
      <c r="I4" s="5">
        <v>1152000</v>
      </c>
      <c r="J4" s="5">
        <v>238000</v>
      </c>
      <c r="K4" s="5">
        <v>182000</v>
      </c>
      <c r="L4" s="5">
        <v>56000</v>
      </c>
      <c r="M4" s="5">
        <v>19833.333333333332</v>
      </c>
      <c r="N4" s="5">
        <v>15166.666666666666</v>
      </c>
      <c r="O4" s="5">
        <v>4666.666666666667</v>
      </c>
      <c r="P4" s="24">
        <v>0.23529411764705882</v>
      </c>
      <c r="Q4" s="5">
        <v>1.3076923076923077</v>
      </c>
    </row>
    <row r="5" spans="1:17" x14ac:dyDescent="0.2">
      <c r="A5">
        <v>2015</v>
      </c>
      <c r="B5" t="s">
        <v>11</v>
      </c>
      <c r="C5" t="s">
        <v>89</v>
      </c>
      <c r="D5" t="s">
        <v>90</v>
      </c>
      <c r="E5" s="5">
        <v>805</v>
      </c>
      <c r="F5" s="5">
        <v>237</v>
      </c>
      <c r="G5" s="5">
        <v>162</v>
      </c>
      <c r="H5" s="5">
        <v>75</v>
      </c>
      <c r="I5" s="5">
        <v>805000</v>
      </c>
      <c r="J5" s="5">
        <v>237000</v>
      </c>
      <c r="K5" s="5">
        <v>162000</v>
      </c>
      <c r="L5" s="5">
        <v>75000</v>
      </c>
      <c r="M5" s="5">
        <v>19750</v>
      </c>
      <c r="N5" s="5">
        <v>13500</v>
      </c>
      <c r="O5" s="5">
        <v>6250</v>
      </c>
      <c r="P5" s="24">
        <v>0.31645569620253167</v>
      </c>
      <c r="Q5" s="5">
        <v>1.462962962962963</v>
      </c>
    </row>
    <row r="6" spans="1:17" x14ac:dyDescent="0.2">
      <c r="A6">
        <v>2015</v>
      </c>
      <c r="B6" t="s">
        <v>12</v>
      </c>
      <c r="C6" t="s">
        <v>91</v>
      </c>
      <c r="D6" t="s">
        <v>92</v>
      </c>
      <c r="E6" s="5">
        <v>2567</v>
      </c>
      <c r="F6" s="5">
        <v>299</v>
      </c>
      <c r="G6" s="5">
        <v>239</v>
      </c>
      <c r="H6" s="5">
        <v>60</v>
      </c>
      <c r="I6" s="5">
        <v>2567000</v>
      </c>
      <c r="J6" s="5">
        <v>299000</v>
      </c>
      <c r="K6" s="5">
        <v>239000</v>
      </c>
      <c r="L6" s="5">
        <v>60000</v>
      </c>
      <c r="M6" s="5">
        <v>24916.666666666668</v>
      </c>
      <c r="N6" s="5">
        <v>19916.666666666668</v>
      </c>
      <c r="O6" s="5">
        <v>5000</v>
      </c>
      <c r="P6" s="24">
        <v>0.20066889632107024</v>
      </c>
      <c r="Q6" s="5">
        <v>1.2510460251046025</v>
      </c>
    </row>
    <row r="7" spans="1:17" x14ac:dyDescent="0.2">
      <c r="A7">
        <v>2015</v>
      </c>
      <c r="B7" t="s">
        <v>13</v>
      </c>
      <c r="C7" t="s">
        <v>93</v>
      </c>
      <c r="D7" t="s">
        <v>94</v>
      </c>
      <c r="E7" s="5">
        <v>3395</v>
      </c>
      <c r="F7" s="5">
        <v>312</v>
      </c>
      <c r="G7" s="5">
        <v>269</v>
      </c>
      <c r="H7" s="5">
        <v>43</v>
      </c>
      <c r="I7" s="5">
        <v>3395000</v>
      </c>
      <c r="J7" s="5">
        <v>312000</v>
      </c>
      <c r="K7" s="5">
        <v>269000</v>
      </c>
      <c r="L7" s="5">
        <v>43000</v>
      </c>
      <c r="M7" s="5">
        <v>26000</v>
      </c>
      <c r="N7" s="5">
        <v>22416.666666666668</v>
      </c>
      <c r="O7" s="5">
        <v>3583.3333333333335</v>
      </c>
      <c r="P7" s="24">
        <v>0.13782051282051283</v>
      </c>
      <c r="Q7" s="5">
        <v>1.1598513011152416</v>
      </c>
    </row>
    <row r="8" spans="1:17" x14ac:dyDescent="0.2">
      <c r="A8">
        <v>2015</v>
      </c>
      <c r="B8" t="s">
        <v>14</v>
      </c>
      <c r="C8" t="s">
        <v>14</v>
      </c>
      <c r="D8" t="s">
        <v>57</v>
      </c>
      <c r="E8" s="5">
        <v>683</v>
      </c>
      <c r="F8" s="5">
        <v>222</v>
      </c>
      <c r="G8" s="5">
        <v>161</v>
      </c>
      <c r="H8" s="5">
        <v>61</v>
      </c>
      <c r="I8" s="5">
        <v>683000</v>
      </c>
      <c r="J8" s="5">
        <v>222000</v>
      </c>
      <c r="K8" s="5">
        <v>161000</v>
      </c>
      <c r="L8" s="5">
        <v>61000</v>
      </c>
      <c r="M8" s="5">
        <v>18500</v>
      </c>
      <c r="N8" s="5">
        <v>13416.666666666666</v>
      </c>
      <c r="O8" s="5">
        <v>5083.333333333333</v>
      </c>
      <c r="P8" s="24">
        <v>0.2747747747747748</v>
      </c>
      <c r="Q8" s="5">
        <v>1.3788819875776397</v>
      </c>
    </row>
    <row r="9" spans="1:17" x14ac:dyDescent="0.2">
      <c r="A9">
        <v>2015</v>
      </c>
      <c r="B9" t="s">
        <v>15</v>
      </c>
      <c r="C9" t="s">
        <v>95</v>
      </c>
      <c r="D9" t="s">
        <v>96</v>
      </c>
      <c r="E9" s="5">
        <v>1216</v>
      </c>
      <c r="F9" s="5">
        <v>187</v>
      </c>
      <c r="G9" s="5">
        <v>160</v>
      </c>
      <c r="H9" s="5">
        <v>27</v>
      </c>
      <c r="I9" s="5">
        <v>1216000</v>
      </c>
      <c r="J9" s="5">
        <v>187000</v>
      </c>
      <c r="K9" s="5">
        <v>160000</v>
      </c>
      <c r="L9" s="5">
        <v>27000</v>
      </c>
      <c r="M9" s="5">
        <v>15583.333333333334</v>
      </c>
      <c r="N9" s="5">
        <v>13333.333333333334</v>
      </c>
      <c r="O9" s="5">
        <v>2250</v>
      </c>
      <c r="P9" s="24">
        <v>0.14438502673796791</v>
      </c>
      <c r="Q9" s="5">
        <v>1.16875</v>
      </c>
    </row>
    <row r="10" spans="1:17" x14ac:dyDescent="0.2">
      <c r="A10">
        <v>2015</v>
      </c>
      <c r="B10" t="s">
        <v>16</v>
      </c>
      <c r="C10" t="s">
        <v>97</v>
      </c>
      <c r="D10" t="s">
        <v>98</v>
      </c>
      <c r="E10" s="5">
        <v>1717</v>
      </c>
      <c r="F10" s="5">
        <v>226</v>
      </c>
      <c r="G10" s="5">
        <v>176</v>
      </c>
      <c r="H10" s="5">
        <v>50</v>
      </c>
      <c r="I10" s="5">
        <v>1717000</v>
      </c>
      <c r="J10" s="5">
        <v>226000</v>
      </c>
      <c r="K10" s="5">
        <v>176000</v>
      </c>
      <c r="L10" s="5">
        <v>50000</v>
      </c>
      <c r="M10" s="5">
        <v>18833.333333333332</v>
      </c>
      <c r="N10" s="5">
        <v>14666.666666666666</v>
      </c>
      <c r="O10" s="5">
        <v>4166.666666666667</v>
      </c>
      <c r="P10" s="24">
        <v>0.22123893805309736</v>
      </c>
      <c r="Q10" s="5">
        <v>1.2840909090909092</v>
      </c>
    </row>
    <row r="11" spans="1:17" x14ac:dyDescent="0.2">
      <c r="A11">
        <v>2015</v>
      </c>
      <c r="B11" t="s">
        <v>17</v>
      </c>
      <c r="C11" t="s">
        <v>99</v>
      </c>
      <c r="D11" t="s">
        <v>100</v>
      </c>
      <c r="E11" s="5">
        <v>1699</v>
      </c>
      <c r="F11" s="5">
        <v>239</v>
      </c>
      <c r="G11" s="5">
        <v>193</v>
      </c>
      <c r="H11" s="5">
        <v>46</v>
      </c>
      <c r="I11" s="5">
        <v>1699000</v>
      </c>
      <c r="J11" s="5">
        <v>239000</v>
      </c>
      <c r="K11" s="5">
        <v>193000</v>
      </c>
      <c r="L11" s="5">
        <v>46000</v>
      </c>
      <c r="M11" s="5">
        <v>19916.666666666668</v>
      </c>
      <c r="N11" s="5">
        <v>16083.333333333334</v>
      </c>
      <c r="O11" s="5">
        <v>3833.3333333333335</v>
      </c>
      <c r="P11" s="24">
        <v>0.19246861924686193</v>
      </c>
      <c r="Q11" s="5">
        <v>1.2383419689119171</v>
      </c>
    </row>
    <row r="12" spans="1:17" x14ac:dyDescent="0.2">
      <c r="A12">
        <v>2015</v>
      </c>
      <c r="B12" t="s">
        <v>18</v>
      </c>
      <c r="C12" t="s">
        <v>101</v>
      </c>
      <c r="D12" t="s">
        <v>102</v>
      </c>
      <c r="E12" s="5">
        <v>986</v>
      </c>
      <c r="F12" s="5">
        <v>197</v>
      </c>
      <c r="G12" s="5">
        <v>156</v>
      </c>
      <c r="H12" s="5">
        <v>41</v>
      </c>
      <c r="I12" s="5">
        <v>986000</v>
      </c>
      <c r="J12" s="5">
        <v>197000</v>
      </c>
      <c r="K12" s="5">
        <v>156000</v>
      </c>
      <c r="L12" s="5">
        <v>41000</v>
      </c>
      <c r="M12" s="5">
        <v>16416.666666666668</v>
      </c>
      <c r="N12" s="5">
        <v>13000</v>
      </c>
      <c r="O12" s="5">
        <v>3416.6666666666665</v>
      </c>
      <c r="P12" s="24">
        <v>0.20812182741116753</v>
      </c>
      <c r="Q12" s="5">
        <v>1.2628205128205128</v>
      </c>
    </row>
    <row r="13" spans="1:17" x14ac:dyDescent="0.2">
      <c r="A13">
        <v>2015</v>
      </c>
      <c r="B13" t="s">
        <v>19</v>
      </c>
      <c r="C13" t="s">
        <v>103</v>
      </c>
      <c r="D13" t="s">
        <v>104</v>
      </c>
      <c r="E13" s="5">
        <v>799</v>
      </c>
      <c r="F13" s="5">
        <v>190</v>
      </c>
      <c r="G13" s="5">
        <v>144</v>
      </c>
      <c r="H13" s="5">
        <v>46</v>
      </c>
      <c r="I13" s="5">
        <v>799000</v>
      </c>
      <c r="J13" s="5">
        <v>190000</v>
      </c>
      <c r="K13" s="5">
        <v>144000</v>
      </c>
      <c r="L13" s="5">
        <v>46000</v>
      </c>
      <c r="M13" s="5">
        <v>15833.333333333334</v>
      </c>
      <c r="N13" s="5">
        <v>12000</v>
      </c>
      <c r="O13" s="5">
        <v>3833.3333333333335</v>
      </c>
      <c r="P13" s="24">
        <v>0.24210526315789474</v>
      </c>
      <c r="Q13" s="5">
        <v>1.3194444444444444</v>
      </c>
    </row>
    <row r="14" spans="1:17" x14ac:dyDescent="0.2">
      <c r="A14">
        <v>2015</v>
      </c>
      <c r="B14" t="s">
        <v>20</v>
      </c>
      <c r="C14" t="s">
        <v>105</v>
      </c>
      <c r="D14" t="s">
        <v>106</v>
      </c>
      <c r="E14" s="5">
        <v>1043</v>
      </c>
      <c r="F14" s="5">
        <v>221</v>
      </c>
      <c r="G14" s="5">
        <v>161</v>
      </c>
      <c r="H14" s="5">
        <v>60</v>
      </c>
      <c r="I14" s="5">
        <v>1043000</v>
      </c>
      <c r="J14" s="5">
        <v>221000</v>
      </c>
      <c r="K14" s="5">
        <v>161000</v>
      </c>
      <c r="L14" s="5">
        <v>60000</v>
      </c>
      <c r="M14" s="5">
        <v>18416.666666666668</v>
      </c>
      <c r="N14" s="5">
        <v>13416.666666666666</v>
      </c>
      <c r="O14" s="5">
        <v>5000</v>
      </c>
      <c r="P14" s="24">
        <v>0.27149321266968324</v>
      </c>
      <c r="Q14" s="5">
        <v>1.3726708074534162</v>
      </c>
    </row>
    <row r="15" spans="1:17" x14ac:dyDescent="0.2">
      <c r="A15">
        <v>2015</v>
      </c>
      <c r="B15" t="s">
        <v>21</v>
      </c>
      <c r="C15" t="s">
        <v>107</v>
      </c>
      <c r="D15" t="s">
        <v>108</v>
      </c>
      <c r="E15" s="5">
        <v>1177</v>
      </c>
      <c r="F15" s="5">
        <v>247</v>
      </c>
      <c r="G15" s="5">
        <v>190</v>
      </c>
      <c r="H15" s="5">
        <v>57</v>
      </c>
      <c r="I15" s="5">
        <v>1177000</v>
      </c>
      <c r="J15" s="5">
        <v>247000</v>
      </c>
      <c r="K15" s="5">
        <v>190000</v>
      </c>
      <c r="L15" s="5">
        <v>57000</v>
      </c>
      <c r="M15" s="5">
        <v>20583.333333333332</v>
      </c>
      <c r="N15" s="5">
        <v>15833.333333333334</v>
      </c>
      <c r="O15" s="5">
        <v>4750</v>
      </c>
      <c r="P15" s="24">
        <v>0.23076923076923078</v>
      </c>
      <c r="Q15" s="5">
        <v>1.3</v>
      </c>
    </row>
    <row r="16" spans="1:17" x14ac:dyDescent="0.2">
      <c r="A16">
        <v>2015</v>
      </c>
      <c r="B16" t="s">
        <v>22</v>
      </c>
      <c r="C16" t="s">
        <v>109</v>
      </c>
      <c r="D16" t="s">
        <v>110</v>
      </c>
      <c r="E16" s="5">
        <v>1051</v>
      </c>
      <c r="F16" s="5">
        <v>188</v>
      </c>
      <c r="G16" s="5">
        <v>162</v>
      </c>
      <c r="H16" s="5">
        <v>26</v>
      </c>
      <c r="I16" s="5">
        <v>1051000</v>
      </c>
      <c r="J16" s="5">
        <v>188000</v>
      </c>
      <c r="K16" s="5">
        <v>162000</v>
      </c>
      <c r="L16" s="5">
        <v>26000</v>
      </c>
      <c r="M16" s="5">
        <v>15666.666666666666</v>
      </c>
      <c r="N16" s="5">
        <v>13500</v>
      </c>
      <c r="O16" s="5">
        <v>2166.6666666666665</v>
      </c>
      <c r="P16" s="24">
        <v>0.13829787234042554</v>
      </c>
      <c r="Q16" s="5">
        <v>1.1604938271604939</v>
      </c>
    </row>
    <row r="17" spans="1:17" x14ac:dyDescent="0.2">
      <c r="A17">
        <v>2015</v>
      </c>
      <c r="B17" t="s">
        <v>23</v>
      </c>
      <c r="C17" t="s">
        <v>111</v>
      </c>
      <c r="D17" t="s">
        <v>112</v>
      </c>
      <c r="E17" s="5">
        <v>574</v>
      </c>
      <c r="F17" s="5">
        <v>198</v>
      </c>
      <c r="G17" s="5">
        <v>159</v>
      </c>
      <c r="H17" s="5">
        <v>39</v>
      </c>
      <c r="I17" s="5">
        <v>574000</v>
      </c>
      <c r="J17" s="5">
        <v>198000</v>
      </c>
      <c r="K17" s="5">
        <v>159000</v>
      </c>
      <c r="L17" s="5">
        <v>39000</v>
      </c>
      <c r="M17" s="5">
        <v>16500</v>
      </c>
      <c r="N17" s="5">
        <v>13250</v>
      </c>
      <c r="O17" s="5">
        <v>3250</v>
      </c>
      <c r="P17" s="24">
        <v>0.19696969696969696</v>
      </c>
      <c r="Q17" s="5">
        <v>1.2452830188679245</v>
      </c>
    </row>
    <row r="18" spans="1:17" x14ac:dyDescent="0.2">
      <c r="A18">
        <v>2015</v>
      </c>
      <c r="B18" t="s">
        <v>24</v>
      </c>
      <c r="C18" t="s">
        <v>24</v>
      </c>
      <c r="D18" t="s">
        <v>67</v>
      </c>
      <c r="E18" s="5">
        <v>620</v>
      </c>
      <c r="F18" s="5">
        <v>139</v>
      </c>
      <c r="G18" s="5">
        <v>111</v>
      </c>
      <c r="H18" s="5">
        <v>28</v>
      </c>
      <c r="I18" s="5">
        <v>620000</v>
      </c>
      <c r="J18" s="5">
        <v>139000</v>
      </c>
      <c r="K18" s="5">
        <v>111000</v>
      </c>
      <c r="L18" s="5">
        <v>28000</v>
      </c>
      <c r="M18" s="5">
        <v>11583.333333333334</v>
      </c>
      <c r="N18" s="5">
        <v>9250</v>
      </c>
      <c r="O18" s="5">
        <v>2333.3333333333335</v>
      </c>
      <c r="P18" s="24">
        <v>0.20143884892086331</v>
      </c>
      <c r="Q18" s="5">
        <v>1.2522522522522523</v>
      </c>
    </row>
    <row r="19" spans="1:17" x14ac:dyDescent="0.2">
      <c r="A19">
        <v>2021</v>
      </c>
      <c r="B19" t="s">
        <v>8</v>
      </c>
      <c r="C19" t="s">
        <v>8</v>
      </c>
      <c r="D19" t="s">
        <v>51</v>
      </c>
      <c r="E19" s="5">
        <v>3512</v>
      </c>
      <c r="F19" s="5">
        <v>418</v>
      </c>
      <c r="G19" s="5">
        <v>322</v>
      </c>
      <c r="H19" s="5">
        <v>96</v>
      </c>
      <c r="I19" s="5">
        <v>3512000</v>
      </c>
      <c r="J19" s="5">
        <v>418000</v>
      </c>
      <c r="K19" s="5">
        <v>322000</v>
      </c>
      <c r="L19" s="5">
        <v>96000</v>
      </c>
      <c r="M19" s="5">
        <v>34833.333333333336</v>
      </c>
      <c r="N19" s="5">
        <v>26833.333333333332</v>
      </c>
      <c r="O19" s="5">
        <v>8000</v>
      </c>
      <c r="P19" s="24">
        <v>0.22966507177033493</v>
      </c>
      <c r="Q19" s="5">
        <v>1.2981366459627328</v>
      </c>
    </row>
    <row r="20" spans="1:17" x14ac:dyDescent="0.2">
      <c r="A20">
        <v>2021</v>
      </c>
      <c r="B20" t="s">
        <v>9</v>
      </c>
      <c r="C20" t="s">
        <v>9</v>
      </c>
      <c r="D20" t="s">
        <v>52</v>
      </c>
      <c r="E20" s="5">
        <v>447</v>
      </c>
      <c r="F20" s="5">
        <v>350</v>
      </c>
      <c r="G20" s="5">
        <v>243</v>
      </c>
      <c r="H20" s="5">
        <v>108</v>
      </c>
      <c r="I20" s="5">
        <v>447000</v>
      </c>
      <c r="J20" s="5">
        <v>350000</v>
      </c>
      <c r="K20" s="5">
        <v>243000</v>
      </c>
      <c r="L20" s="5">
        <v>108000</v>
      </c>
      <c r="M20" s="5">
        <v>29166.666666666668</v>
      </c>
      <c r="N20" s="5">
        <v>20250</v>
      </c>
      <c r="O20" s="5">
        <v>9000</v>
      </c>
      <c r="P20" s="24">
        <v>0.30857142857142855</v>
      </c>
      <c r="Q20" s="5">
        <v>1.440329218106996</v>
      </c>
    </row>
    <row r="21" spans="1:17" x14ac:dyDescent="0.2">
      <c r="A21">
        <v>2021</v>
      </c>
      <c r="B21" t="s">
        <v>10</v>
      </c>
      <c r="C21" t="s">
        <v>87</v>
      </c>
      <c r="D21" t="s">
        <v>88</v>
      </c>
      <c r="E21" s="5">
        <v>1270</v>
      </c>
      <c r="F21" s="5">
        <v>305</v>
      </c>
      <c r="G21" s="5">
        <v>210</v>
      </c>
      <c r="H21" s="5">
        <v>95</v>
      </c>
      <c r="I21" s="5">
        <v>1270000</v>
      </c>
      <c r="J21" s="5">
        <v>305000</v>
      </c>
      <c r="K21" s="5">
        <v>210000</v>
      </c>
      <c r="L21" s="5">
        <v>95000</v>
      </c>
      <c r="M21" s="5">
        <v>25416.666666666668</v>
      </c>
      <c r="N21" s="5">
        <v>17500</v>
      </c>
      <c r="O21" s="5">
        <v>7916.666666666667</v>
      </c>
      <c r="P21" s="24">
        <v>0.31147540983606559</v>
      </c>
      <c r="Q21" s="5">
        <v>1.4523809523809523</v>
      </c>
    </row>
    <row r="22" spans="1:17" x14ac:dyDescent="0.2">
      <c r="A22">
        <v>2021</v>
      </c>
      <c r="B22" t="s">
        <v>11</v>
      </c>
      <c r="C22" t="s">
        <v>89</v>
      </c>
      <c r="D22" t="s">
        <v>90</v>
      </c>
      <c r="E22" s="5">
        <v>898</v>
      </c>
      <c r="F22" s="5">
        <v>290</v>
      </c>
      <c r="G22" s="5">
        <v>201</v>
      </c>
      <c r="H22" s="5">
        <v>89</v>
      </c>
      <c r="I22" s="5">
        <v>898000</v>
      </c>
      <c r="J22" s="5">
        <v>290000</v>
      </c>
      <c r="K22" s="5">
        <v>201000</v>
      </c>
      <c r="L22" s="5">
        <v>89000</v>
      </c>
      <c r="M22" s="5">
        <v>24166.666666666668</v>
      </c>
      <c r="N22" s="5">
        <v>16750</v>
      </c>
      <c r="O22" s="5">
        <v>7416.666666666667</v>
      </c>
      <c r="P22" s="24">
        <v>0.30689655172413793</v>
      </c>
      <c r="Q22" s="5">
        <v>1.4427860696517414</v>
      </c>
    </row>
    <row r="23" spans="1:17" x14ac:dyDescent="0.2">
      <c r="A23">
        <v>2021</v>
      </c>
      <c r="B23" t="s">
        <v>12</v>
      </c>
      <c r="C23" t="s">
        <v>91</v>
      </c>
      <c r="D23" t="s">
        <v>92</v>
      </c>
      <c r="E23" s="5">
        <v>2991</v>
      </c>
      <c r="F23" s="5">
        <v>329</v>
      </c>
      <c r="G23" s="5">
        <v>258</v>
      </c>
      <c r="H23" s="5">
        <v>70</v>
      </c>
      <c r="I23" s="5">
        <v>2991000</v>
      </c>
      <c r="J23" s="5">
        <v>329000</v>
      </c>
      <c r="K23" s="5">
        <v>258000</v>
      </c>
      <c r="L23" s="5">
        <v>70000</v>
      </c>
      <c r="M23" s="5">
        <v>27416.666666666668</v>
      </c>
      <c r="N23" s="5">
        <v>21500</v>
      </c>
      <c r="O23" s="5">
        <v>5833.333333333333</v>
      </c>
      <c r="P23" s="24">
        <v>0.21276595744680851</v>
      </c>
      <c r="Q23" s="5">
        <v>1.2751937984496124</v>
      </c>
    </row>
    <row r="24" spans="1:17" x14ac:dyDescent="0.2">
      <c r="A24">
        <v>2021</v>
      </c>
      <c r="B24" t="s">
        <v>13</v>
      </c>
      <c r="C24" t="s">
        <v>93</v>
      </c>
      <c r="D24" t="s">
        <v>94</v>
      </c>
      <c r="E24" s="5">
        <v>4082</v>
      </c>
      <c r="F24" s="5">
        <v>361</v>
      </c>
      <c r="G24" s="5">
        <v>281</v>
      </c>
      <c r="H24" s="5">
        <v>80</v>
      </c>
      <c r="I24" s="5">
        <v>4082000</v>
      </c>
      <c r="J24" s="5">
        <v>361000</v>
      </c>
      <c r="K24" s="5">
        <v>281000</v>
      </c>
      <c r="L24" s="5">
        <v>80000</v>
      </c>
      <c r="M24" s="5">
        <v>30083.333333333332</v>
      </c>
      <c r="N24" s="5">
        <v>23416.666666666668</v>
      </c>
      <c r="O24" s="5">
        <v>6666.666666666667</v>
      </c>
      <c r="P24" s="24">
        <v>0.22160664819944598</v>
      </c>
      <c r="Q24" s="5">
        <v>1.2846975088967971</v>
      </c>
    </row>
    <row r="25" spans="1:17" x14ac:dyDescent="0.2">
      <c r="A25">
        <v>2021</v>
      </c>
      <c r="B25" t="s">
        <v>14</v>
      </c>
      <c r="C25" t="s">
        <v>14</v>
      </c>
      <c r="D25" t="s">
        <v>57</v>
      </c>
      <c r="E25" s="5">
        <v>787</v>
      </c>
      <c r="F25" s="5">
        <v>255</v>
      </c>
      <c r="G25" s="5">
        <v>178</v>
      </c>
      <c r="H25" s="5">
        <v>77</v>
      </c>
      <c r="I25" s="5">
        <v>787000</v>
      </c>
      <c r="J25" s="5">
        <v>255000</v>
      </c>
      <c r="K25" s="5">
        <v>178000</v>
      </c>
      <c r="L25" s="5">
        <v>77000</v>
      </c>
      <c r="M25" s="5">
        <v>21250</v>
      </c>
      <c r="N25" s="5">
        <v>14833.333333333334</v>
      </c>
      <c r="O25" s="5">
        <v>6416.666666666667</v>
      </c>
      <c r="P25" s="24">
        <v>0.30196078431372547</v>
      </c>
      <c r="Q25" s="5">
        <v>1.4325842696629214</v>
      </c>
    </row>
    <row r="26" spans="1:17" x14ac:dyDescent="0.2">
      <c r="A26">
        <v>2021</v>
      </c>
      <c r="B26" t="s">
        <v>15</v>
      </c>
      <c r="C26" t="s">
        <v>95</v>
      </c>
      <c r="D26" t="s">
        <v>96</v>
      </c>
      <c r="E26" s="5">
        <v>1338</v>
      </c>
      <c r="F26" s="5">
        <v>252</v>
      </c>
      <c r="G26" s="5">
        <v>190</v>
      </c>
      <c r="H26" s="5">
        <v>62</v>
      </c>
      <c r="I26" s="5">
        <v>1338000</v>
      </c>
      <c r="J26" s="5">
        <v>252000</v>
      </c>
      <c r="K26" s="5">
        <v>190000</v>
      </c>
      <c r="L26" s="5">
        <v>62000</v>
      </c>
      <c r="M26" s="5">
        <v>21000</v>
      </c>
      <c r="N26" s="5">
        <v>15833.333333333334</v>
      </c>
      <c r="O26" s="5">
        <v>5166.666666666667</v>
      </c>
      <c r="P26" s="24">
        <v>0.24603174603174602</v>
      </c>
      <c r="Q26" s="5">
        <v>1.3263157894736841</v>
      </c>
    </row>
    <row r="27" spans="1:17" x14ac:dyDescent="0.2">
      <c r="A27">
        <v>2021</v>
      </c>
      <c r="B27" t="s">
        <v>16</v>
      </c>
      <c r="C27" t="s">
        <v>97</v>
      </c>
      <c r="D27" t="s">
        <v>98</v>
      </c>
      <c r="E27" s="5">
        <v>1945</v>
      </c>
      <c r="F27" s="5">
        <v>268</v>
      </c>
      <c r="G27" s="5">
        <v>200</v>
      </c>
      <c r="H27" s="5">
        <v>68</v>
      </c>
      <c r="I27" s="5">
        <v>1945000</v>
      </c>
      <c r="J27" s="5">
        <v>268000</v>
      </c>
      <c r="K27" s="5">
        <v>200000</v>
      </c>
      <c r="L27" s="5">
        <v>68000</v>
      </c>
      <c r="M27" s="5">
        <v>22333.333333333332</v>
      </c>
      <c r="N27" s="5">
        <v>16666.666666666668</v>
      </c>
      <c r="O27" s="5">
        <v>5666.666666666667</v>
      </c>
      <c r="P27" s="24">
        <v>0.2537313432835821</v>
      </c>
      <c r="Q27" s="5">
        <v>1.34</v>
      </c>
    </row>
    <row r="28" spans="1:17" x14ac:dyDescent="0.2">
      <c r="A28">
        <v>2021</v>
      </c>
      <c r="B28" t="s">
        <v>17</v>
      </c>
      <c r="C28" t="s">
        <v>99</v>
      </c>
      <c r="D28" t="s">
        <v>100</v>
      </c>
      <c r="E28" s="5">
        <v>1970</v>
      </c>
      <c r="F28" s="5">
        <v>285</v>
      </c>
      <c r="G28" s="5">
        <v>194</v>
      </c>
      <c r="H28" s="5">
        <v>91</v>
      </c>
      <c r="I28" s="5">
        <v>1970000</v>
      </c>
      <c r="J28" s="5">
        <v>285000</v>
      </c>
      <c r="K28" s="5">
        <v>194000</v>
      </c>
      <c r="L28" s="5">
        <v>91000</v>
      </c>
      <c r="M28" s="5">
        <v>23750</v>
      </c>
      <c r="N28" s="5">
        <v>16166.666666666666</v>
      </c>
      <c r="O28" s="5">
        <v>7583.333333333333</v>
      </c>
      <c r="P28" s="24">
        <v>0.31929824561403508</v>
      </c>
      <c r="Q28" s="5">
        <v>1.4690721649484537</v>
      </c>
    </row>
    <row r="29" spans="1:17" x14ac:dyDescent="0.2">
      <c r="A29">
        <v>2021</v>
      </c>
      <c r="B29" t="s">
        <v>18</v>
      </c>
      <c r="C29" t="s">
        <v>101</v>
      </c>
      <c r="D29" t="s">
        <v>102</v>
      </c>
      <c r="E29" s="5">
        <v>1134</v>
      </c>
      <c r="F29" s="5">
        <v>243</v>
      </c>
      <c r="G29" s="5">
        <v>189</v>
      </c>
      <c r="H29" s="5">
        <v>54</v>
      </c>
      <c r="I29" s="5">
        <v>1134000</v>
      </c>
      <c r="J29" s="5">
        <v>243000</v>
      </c>
      <c r="K29" s="5">
        <v>189000</v>
      </c>
      <c r="L29" s="5">
        <v>54000</v>
      </c>
      <c r="M29" s="5">
        <v>20250</v>
      </c>
      <c r="N29" s="5">
        <v>15750</v>
      </c>
      <c r="O29" s="5">
        <v>4500</v>
      </c>
      <c r="P29" s="24">
        <v>0.22222222222222221</v>
      </c>
      <c r="Q29" s="5">
        <v>1.2857142857142858</v>
      </c>
    </row>
    <row r="30" spans="1:17" x14ac:dyDescent="0.2">
      <c r="A30">
        <v>2021</v>
      </c>
      <c r="B30" t="s">
        <v>19</v>
      </c>
      <c r="C30" t="s">
        <v>103</v>
      </c>
      <c r="D30" t="s">
        <v>104</v>
      </c>
      <c r="E30" s="5">
        <v>874</v>
      </c>
      <c r="F30" s="5">
        <v>239</v>
      </c>
      <c r="G30" s="5">
        <v>166</v>
      </c>
      <c r="H30" s="5">
        <v>72</v>
      </c>
      <c r="I30" s="5">
        <v>874000</v>
      </c>
      <c r="J30" s="5">
        <v>239000</v>
      </c>
      <c r="K30" s="5">
        <v>166000</v>
      </c>
      <c r="L30" s="5">
        <v>72000</v>
      </c>
      <c r="M30" s="5">
        <v>19916.666666666668</v>
      </c>
      <c r="N30" s="5">
        <v>13833.333333333334</v>
      </c>
      <c r="O30" s="5">
        <v>6000</v>
      </c>
      <c r="P30" s="24">
        <v>0.30125523012552302</v>
      </c>
      <c r="Q30" s="5">
        <v>1.4397590361445782</v>
      </c>
    </row>
    <row r="31" spans="1:17" x14ac:dyDescent="0.2">
      <c r="A31">
        <v>2021</v>
      </c>
      <c r="B31" t="s">
        <v>20</v>
      </c>
      <c r="C31" t="s">
        <v>105</v>
      </c>
      <c r="D31" t="s">
        <v>106</v>
      </c>
      <c r="E31" s="5">
        <v>1191</v>
      </c>
      <c r="F31" s="5">
        <v>257</v>
      </c>
      <c r="G31" s="5">
        <v>176</v>
      </c>
      <c r="H31" s="5">
        <v>82</v>
      </c>
      <c r="I31" s="5">
        <v>1191000</v>
      </c>
      <c r="J31" s="5">
        <v>257000</v>
      </c>
      <c r="K31" s="5">
        <v>176000</v>
      </c>
      <c r="L31" s="5">
        <v>82000</v>
      </c>
      <c r="M31" s="5">
        <v>21416.666666666668</v>
      </c>
      <c r="N31" s="5">
        <v>14666.666666666666</v>
      </c>
      <c r="O31" s="5">
        <v>6833.333333333333</v>
      </c>
      <c r="P31" s="24">
        <v>0.31906614785992216</v>
      </c>
      <c r="Q31" s="5">
        <v>1.4602272727272727</v>
      </c>
    </row>
    <row r="32" spans="1:17" x14ac:dyDescent="0.2">
      <c r="A32">
        <v>2021</v>
      </c>
      <c r="B32" t="s">
        <v>21</v>
      </c>
      <c r="C32" t="s">
        <v>107</v>
      </c>
      <c r="D32" t="s">
        <v>108</v>
      </c>
      <c r="E32" s="5">
        <v>1393</v>
      </c>
      <c r="F32" s="5">
        <v>282</v>
      </c>
      <c r="G32" s="5">
        <v>184</v>
      </c>
      <c r="H32" s="5">
        <v>98</v>
      </c>
      <c r="I32" s="5">
        <v>1393000</v>
      </c>
      <c r="J32" s="5">
        <v>282000</v>
      </c>
      <c r="K32" s="5">
        <v>184000</v>
      </c>
      <c r="L32" s="5">
        <v>98000</v>
      </c>
      <c r="M32" s="5">
        <v>23500</v>
      </c>
      <c r="N32" s="5">
        <v>15333.333333333334</v>
      </c>
      <c r="O32" s="5">
        <v>8166.666666666667</v>
      </c>
      <c r="P32" s="24">
        <v>0.3475177304964539</v>
      </c>
      <c r="Q32" s="5">
        <v>1.5326086956521738</v>
      </c>
    </row>
    <row r="33" spans="1:17" x14ac:dyDescent="0.2">
      <c r="A33">
        <v>2021</v>
      </c>
      <c r="B33" t="s">
        <v>22</v>
      </c>
      <c r="C33" t="s">
        <v>109</v>
      </c>
      <c r="D33" t="s">
        <v>110</v>
      </c>
      <c r="E33" s="5">
        <v>1206</v>
      </c>
      <c r="F33" s="5">
        <v>235</v>
      </c>
      <c r="G33" s="5">
        <v>174</v>
      </c>
      <c r="H33" s="5">
        <v>60</v>
      </c>
      <c r="I33" s="5">
        <v>1206000</v>
      </c>
      <c r="J33" s="5">
        <v>235000</v>
      </c>
      <c r="K33" s="5">
        <v>174000</v>
      </c>
      <c r="L33" s="5">
        <v>60000</v>
      </c>
      <c r="M33" s="5">
        <v>19583.333333333332</v>
      </c>
      <c r="N33" s="5">
        <v>14500</v>
      </c>
      <c r="O33" s="5">
        <v>5000</v>
      </c>
      <c r="P33" s="24">
        <v>0.25531914893617019</v>
      </c>
      <c r="Q33" s="5">
        <v>1.3505747126436782</v>
      </c>
    </row>
    <row r="34" spans="1:17" x14ac:dyDescent="0.2">
      <c r="A34">
        <v>2021</v>
      </c>
      <c r="B34" t="s">
        <v>23</v>
      </c>
      <c r="C34" t="s">
        <v>111</v>
      </c>
      <c r="D34" t="s">
        <v>112</v>
      </c>
      <c r="E34" s="5">
        <v>664</v>
      </c>
      <c r="F34" s="5">
        <v>250</v>
      </c>
      <c r="G34" s="5">
        <v>198</v>
      </c>
      <c r="H34" s="5">
        <v>52</v>
      </c>
      <c r="I34" s="5">
        <v>664000</v>
      </c>
      <c r="J34" s="5">
        <v>250000</v>
      </c>
      <c r="K34" s="5">
        <v>198000</v>
      </c>
      <c r="L34" s="5">
        <v>52000</v>
      </c>
      <c r="M34" s="5">
        <v>20833.333333333332</v>
      </c>
      <c r="N34" s="5">
        <v>16500</v>
      </c>
      <c r="O34" s="5">
        <v>4333.333333333333</v>
      </c>
      <c r="P34" s="24">
        <v>0.20799999999999999</v>
      </c>
      <c r="Q34" s="5">
        <v>1.2626262626262625</v>
      </c>
    </row>
    <row r="35" spans="1:17" x14ac:dyDescent="0.2">
      <c r="A35">
        <v>2021</v>
      </c>
      <c r="B35" t="s">
        <v>24</v>
      </c>
      <c r="C35" t="s">
        <v>24</v>
      </c>
      <c r="D35" t="s">
        <v>67</v>
      </c>
      <c r="E35" s="5">
        <v>696</v>
      </c>
      <c r="F35" s="5">
        <v>185</v>
      </c>
      <c r="G35" s="5">
        <v>150</v>
      </c>
      <c r="H35" s="5">
        <v>35</v>
      </c>
      <c r="I35" s="5">
        <v>696000</v>
      </c>
      <c r="J35" s="5">
        <v>185000</v>
      </c>
      <c r="K35" s="5">
        <v>150000</v>
      </c>
      <c r="L35" s="5">
        <v>35000</v>
      </c>
      <c r="M35" s="5">
        <v>15416.666666666666</v>
      </c>
      <c r="N35" s="5">
        <v>12500</v>
      </c>
      <c r="O35" s="5">
        <v>2916.6666666666665</v>
      </c>
      <c r="P35" s="24">
        <v>0.1891891891891892</v>
      </c>
      <c r="Q35" s="5">
        <v>1.2333333333333334</v>
      </c>
    </row>
    <row r="36" spans="1:17" x14ac:dyDescent="0.2">
      <c r="A36">
        <v>2018</v>
      </c>
      <c r="B36" t="s">
        <v>8</v>
      </c>
      <c r="C36" t="s">
        <v>8</v>
      </c>
      <c r="D36" t="s">
        <v>51</v>
      </c>
      <c r="E36" s="5">
        <v>3318</v>
      </c>
      <c r="F36" s="5">
        <v>460</v>
      </c>
      <c r="G36" s="5">
        <v>369</v>
      </c>
      <c r="H36" s="5">
        <v>92</v>
      </c>
      <c r="I36" s="5">
        <v>3318000</v>
      </c>
      <c r="J36" s="5">
        <v>460000</v>
      </c>
      <c r="K36" s="5">
        <v>369000</v>
      </c>
      <c r="L36" s="5">
        <v>92000</v>
      </c>
      <c r="M36" s="5">
        <v>38333.333333333336</v>
      </c>
      <c r="N36" s="5">
        <v>30750</v>
      </c>
      <c r="O36" s="5">
        <v>7666.666666666667</v>
      </c>
      <c r="P36" s="24">
        <v>0.2</v>
      </c>
      <c r="Q36" s="5">
        <v>1.2466124661246611</v>
      </c>
    </row>
    <row r="37" spans="1:17" x14ac:dyDescent="0.2">
      <c r="A37">
        <v>2018</v>
      </c>
      <c r="B37" t="s">
        <v>9</v>
      </c>
      <c r="C37" t="s">
        <v>9</v>
      </c>
      <c r="D37" t="s">
        <v>52</v>
      </c>
      <c r="E37" s="5">
        <v>422</v>
      </c>
      <c r="F37" s="5">
        <v>354</v>
      </c>
      <c r="G37" s="5">
        <v>230</v>
      </c>
      <c r="H37" s="5">
        <v>124</v>
      </c>
      <c r="I37" s="5">
        <v>422000</v>
      </c>
      <c r="J37" s="5">
        <v>354000</v>
      </c>
      <c r="K37" s="5">
        <v>230000</v>
      </c>
      <c r="L37" s="5">
        <v>124000</v>
      </c>
      <c r="M37" s="5">
        <v>29500</v>
      </c>
      <c r="N37" s="5">
        <v>19166.666666666668</v>
      </c>
      <c r="O37" s="5">
        <v>10333.333333333334</v>
      </c>
      <c r="P37" s="24">
        <v>0.35028248587570621</v>
      </c>
      <c r="Q37" s="5">
        <v>1.5391304347826087</v>
      </c>
    </row>
    <row r="38" spans="1:17" x14ac:dyDescent="0.2">
      <c r="A38">
        <v>2018</v>
      </c>
      <c r="B38" t="s">
        <v>10</v>
      </c>
      <c r="C38" t="s">
        <v>87</v>
      </c>
      <c r="D38" t="s">
        <v>88</v>
      </c>
      <c r="E38" s="5">
        <v>1213</v>
      </c>
      <c r="F38" s="5">
        <v>287</v>
      </c>
      <c r="G38" s="5">
        <v>205</v>
      </c>
      <c r="H38" s="5">
        <v>82</v>
      </c>
      <c r="I38" s="5">
        <v>1213000</v>
      </c>
      <c r="J38" s="5">
        <v>287000</v>
      </c>
      <c r="K38" s="5">
        <v>205000</v>
      </c>
      <c r="L38" s="5">
        <v>82000</v>
      </c>
      <c r="M38" s="5">
        <v>23916.666666666668</v>
      </c>
      <c r="N38" s="5">
        <v>17083.333333333332</v>
      </c>
      <c r="O38" s="5">
        <v>6833.333333333333</v>
      </c>
      <c r="P38" s="24">
        <v>0.2857142857142857</v>
      </c>
      <c r="Q38" s="5">
        <v>1.4</v>
      </c>
    </row>
    <row r="39" spans="1:17" x14ac:dyDescent="0.2">
      <c r="A39">
        <v>2018</v>
      </c>
      <c r="B39" t="s">
        <v>11</v>
      </c>
      <c r="C39" t="s">
        <v>89</v>
      </c>
      <c r="D39" t="s">
        <v>90</v>
      </c>
      <c r="E39" s="5">
        <v>853</v>
      </c>
      <c r="F39" s="5">
        <v>265</v>
      </c>
      <c r="G39" s="5">
        <v>174</v>
      </c>
      <c r="H39" s="5">
        <v>91</v>
      </c>
      <c r="I39" s="5">
        <v>853000</v>
      </c>
      <c r="J39" s="5">
        <v>265000</v>
      </c>
      <c r="K39" s="5">
        <v>174000</v>
      </c>
      <c r="L39" s="5">
        <v>91000</v>
      </c>
      <c r="M39" s="5">
        <v>22083.333333333332</v>
      </c>
      <c r="N39" s="5">
        <v>14500</v>
      </c>
      <c r="O39" s="5">
        <v>7583.333333333333</v>
      </c>
      <c r="P39" s="24">
        <v>0.34339622641509432</v>
      </c>
      <c r="Q39" s="5">
        <v>1.5229885057471264</v>
      </c>
    </row>
    <row r="40" spans="1:17" x14ac:dyDescent="0.2">
      <c r="A40">
        <v>2018</v>
      </c>
      <c r="B40" t="s">
        <v>12</v>
      </c>
      <c r="C40" t="s">
        <v>91</v>
      </c>
      <c r="D40" t="s">
        <v>92</v>
      </c>
      <c r="E40" s="5">
        <v>2783</v>
      </c>
      <c r="F40" s="5">
        <v>334</v>
      </c>
      <c r="G40" s="5">
        <v>270</v>
      </c>
      <c r="H40" s="5">
        <v>64</v>
      </c>
      <c r="I40" s="5">
        <v>2783000</v>
      </c>
      <c r="J40" s="5">
        <v>334000</v>
      </c>
      <c r="K40" s="5">
        <v>270000</v>
      </c>
      <c r="L40" s="5">
        <v>64000</v>
      </c>
      <c r="M40" s="5">
        <v>27833.333333333332</v>
      </c>
      <c r="N40" s="5">
        <v>22500</v>
      </c>
      <c r="O40" s="5">
        <v>5333.333333333333</v>
      </c>
      <c r="P40" s="24">
        <v>0.19161676646706588</v>
      </c>
      <c r="Q40" s="5">
        <v>1.2370370370370369</v>
      </c>
    </row>
    <row r="41" spans="1:17" x14ac:dyDescent="0.2">
      <c r="A41">
        <v>2018</v>
      </c>
      <c r="B41" t="s">
        <v>13</v>
      </c>
      <c r="C41" t="s">
        <v>93</v>
      </c>
      <c r="D41" t="s">
        <v>94</v>
      </c>
      <c r="E41" s="5">
        <v>3760</v>
      </c>
      <c r="F41" s="5">
        <v>384</v>
      </c>
      <c r="G41" s="5">
        <v>305</v>
      </c>
      <c r="H41" s="5">
        <v>80</v>
      </c>
      <c r="I41" s="5">
        <v>3760000</v>
      </c>
      <c r="J41" s="5">
        <v>384000</v>
      </c>
      <c r="K41" s="5">
        <v>305000</v>
      </c>
      <c r="L41" s="5">
        <v>80000</v>
      </c>
      <c r="M41" s="5">
        <v>32000</v>
      </c>
      <c r="N41" s="5">
        <v>25416.666666666668</v>
      </c>
      <c r="O41" s="5">
        <v>6666.666666666667</v>
      </c>
      <c r="P41" s="24">
        <v>0.20833333333333334</v>
      </c>
      <c r="Q41" s="5">
        <v>1.2590163934426231</v>
      </c>
    </row>
    <row r="42" spans="1:17" x14ac:dyDescent="0.2">
      <c r="A42">
        <v>2018</v>
      </c>
      <c r="B42" t="s">
        <v>14</v>
      </c>
      <c r="C42" t="s">
        <v>14</v>
      </c>
      <c r="D42" t="s">
        <v>57</v>
      </c>
      <c r="E42" s="5">
        <v>737</v>
      </c>
      <c r="F42" s="5">
        <v>257</v>
      </c>
      <c r="G42" s="5">
        <v>175</v>
      </c>
      <c r="H42" s="5">
        <v>83</v>
      </c>
      <c r="I42" s="5">
        <v>737000</v>
      </c>
      <c r="J42" s="5">
        <v>257000</v>
      </c>
      <c r="K42" s="5">
        <v>175000</v>
      </c>
      <c r="L42" s="5">
        <v>83000</v>
      </c>
      <c r="M42" s="5">
        <v>21416.666666666668</v>
      </c>
      <c r="N42" s="5">
        <v>14583.333333333334</v>
      </c>
      <c r="O42" s="5">
        <v>6916.666666666667</v>
      </c>
      <c r="P42" s="24">
        <v>0.32295719844357978</v>
      </c>
      <c r="Q42" s="5">
        <v>1.4685714285714286</v>
      </c>
    </row>
    <row r="43" spans="1:17" x14ac:dyDescent="0.2">
      <c r="A43">
        <v>2018</v>
      </c>
      <c r="B43" t="s">
        <v>15</v>
      </c>
      <c r="C43" t="s">
        <v>95</v>
      </c>
      <c r="D43" t="s">
        <v>96</v>
      </c>
      <c r="E43" s="5">
        <v>1280</v>
      </c>
      <c r="F43" s="5">
        <v>235</v>
      </c>
      <c r="G43" s="5">
        <v>193</v>
      </c>
      <c r="H43" s="5">
        <v>42</v>
      </c>
      <c r="I43" s="5">
        <v>1280000</v>
      </c>
      <c r="J43" s="5">
        <v>235000</v>
      </c>
      <c r="K43" s="5">
        <v>193000</v>
      </c>
      <c r="L43" s="5">
        <v>42000</v>
      </c>
      <c r="M43" s="5">
        <v>19583.333333333332</v>
      </c>
      <c r="N43" s="5">
        <v>16083.333333333334</v>
      </c>
      <c r="O43" s="5">
        <v>3500</v>
      </c>
      <c r="P43" s="24">
        <v>0.17872340425531916</v>
      </c>
      <c r="Q43" s="5">
        <v>1.2176165803108809</v>
      </c>
    </row>
    <row r="44" spans="1:17" x14ac:dyDescent="0.2">
      <c r="A44">
        <v>2018</v>
      </c>
      <c r="B44" t="s">
        <v>16</v>
      </c>
      <c r="C44" t="s">
        <v>97</v>
      </c>
      <c r="D44" t="s">
        <v>98</v>
      </c>
      <c r="E44" s="5">
        <v>1832</v>
      </c>
      <c r="F44" s="5">
        <v>266</v>
      </c>
      <c r="G44" s="5">
        <v>202</v>
      </c>
      <c r="H44" s="5">
        <v>63</v>
      </c>
      <c r="I44" s="5">
        <v>1832000</v>
      </c>
      <c r="J44" s="5">
        <v>266000</v>
      </c>
      <c r="K44" s="5">
        <v>202000</v>
      </c>
      <c r="L44" s="5">
        <v>63000</v>
      </c>
      <c r="M44" s="5">
        <v>22166.666666666668</v>
      </c>
      <c r="N44" s="5">
        <v>16833.333333333332</v>
      </c>
      <c r="O44" s="5">
        <v>5250</v>
      </c>
      <c r="P44" s="24">
        <v>0.23684210526315788</v>
      </c>
      <c r="Q44" s="5">
        <v>1.3168316831683169</v>
      </c>
    </row>
    <row r="45" spans="1:17" x14ac:dyDescent="0.2">
      <c r="A45">
        <v>2018</v>
      </c>
      <c r="B45" t="s">
        <v>17</v>
      </c>
      <c r="C45" t="s">
        <v>99</v>
      </c>
      <c r="D45" t="s">
        <v>100</v>
      </c>
      <c r="E45" s="5">
        <v>1839</v>
      </c>
      <c r="F45" s="5">
        <v>308</v>
      </c>
      <c r="G45" s="5">
        <v>204</v>
      </c>
      <c r="H45" s="5">
        <v>104</v>
      </c>
      <c r="I45" s="5">
        <v>1839000</v>
      </c>
      <c r="J45" s="5">
        <v>308000</v>
      </c>
      <c r="K45" s="5">
        <v>204000</v>
      </c>
      <c r="L45" s="5">
        <v>104000</v>
      </c>
      <c r="M45" s="5">
        <v>25666.666666666668</v>
      </c>
      <c r="N45" s="5">
        <v>17000</v>
      </c>
      <c r="O45" s="5">
        <v>8666.6666666666661</v>
      </c>
      <c r="P45" s="24">
        <v>0.33766233766233766</v>
      </c>
      <c r="Q45" s="5">
        <v>1.5098039215686274</v>
      </c>
    </row>
    <row r="46" spans="1:17" x14ac:dyDescent="0.2">
      <c r="A46">
        <v>2018</v>
      </c>
      <c r="B46" t="s">
        <v>18</v>
      </c>
      <c r="C46" t="s">
        <v>101</v>
      </c>
      <c r="D46" t="s">
        <v>102</v>
      </c>
      <c r="E46" s="5">
        <v>1059</v>
      </c>
      <c r="F46" s="5">
        <v>227</v>
      </c>
      <c r="G46" s="5">
        <v>179</v>
      </c>
      <c r="H46" s="5">
        <v>48</v>
      </c>
      <c r="I46" s="5">
        <v>1059000</v>
      </c>
      <c r="J46" s="5">
        <v>227000</v>
      </c>
      <c r="K46" s="5">
        <v>179000</v>
      </c>
      <c r="L46" s="5">
        <v>48000</v>
      </c>
      <c r="M46" s="5">
        <v>18916.666666666668</v>
      </c>
      <c r="N46" s="5">
        <v>14916.666666666666</v>
      </c>
      <c r="O46" s="5">
        <v>4000</v>
      </c>
      <c r="P46" s="24">
        <v>0.21145374449339208</v>
      </c>
      <c r="Q46" s="5">
        <v>1.2681564245810055</v>
      </c>
    </row>
    <row r="47" spans="1:17" x14ac:dyDescent="0.2">
      <c r="A47">
        <v>2018</v>
      </c>
      <c r="B47" t="s">
        <v>19</v>
      </c>
      <c r="C47" t="s">
        <v>103</v>
      </c>
      <c r="D47" t="s">
        <v>104</v>
      </c>
      <c r="E47" s="5">
        <v>839</v>
      </c>
      <c r="F47" s="5">
        <v>228</v>
      </c>
      <c r="G47" s="5">
        <v>162</v>
      </c>
      <c r="H47" s="5">
        <v>65</v>
      </c>
      <c r="I47" s="5">
        <v>839000</v>
      </c>
      <c r="J47" s="5">
        <v>228000</v>
      </c>
      <c r="K47" s="5">
        <v>162000</v>
      </c>
      <c r="L47" s="5">
        <v>65000</v>
      </c>
      <c r="M47" s="5">
        <v>19000</v>
      </c>
      <c r="N47" s="5">
        <v>13500</v>
      </c>
      <c r="O47" s="5">
        <v>5416.666666666667</v>
      </c>
      <c r="P47" s="24">
        <v>0.28508771929824561</v>
      </c>
      <c r="Q47" s="5">
        <v>1.4074074074074074</v>
      </c>
    </row>
    <row r="48" spans="1:17" x14ac:dyDescent="0.2">
      <c r="A48">
        <v>2018</v>
      </c>
      <c r="B48" t="s">
        <v>20</v>
      </c>
      <c r="C48" t="s">
        <v>105</v>
      </c>
      <c r="D48" t="s">
        <v>106</v>
      </c>
      <c r="E48" s="5">
        <v>1120</v>
      </c>
      <c r="F48" s="5">
        <v>250</v>
      </c>
      <c r="G48" s="5">
        <v>175</v>
      </c>
      <c r="H48" s="5">
        <v>76</v>
      </c>
      <c r="I48" s="5">
        <v>1120000</v>
      </c>
      <c r="J48" s="5">
        <v>250000</v>
      </c>
      <c r="K48" s="5">
        <v>175000</v>
      </c>
      <c r="L48" s="5">
        <v>76000</v>
      </c>
      <c r="M48" s="5">
        <v>20833.333333333332</v>
      </c>
      <c r="N48" s="5">
        <v>14583.333333333334</v>
      </c>
      <c r="O48" s="5">
        <v>6333.333333333333</v>
      </c>
      <c r="P48" s="24">
        <v>0.30399999999999999</v>
      </c>
      <c r="Q48" s="5">
        <v>1.4285714285714286</v>
      </c>
    </row>
    <row r="49" spans="1:17" x14ac:dyDescent="0.2">
      <c r="A49">
        <v>2018</v>
      </c>
      <c r="B49" t="s">
        <v>21</v>
      </c>
      <c r="C49" t="s">
        <v>107</v>
      </c>
      <c r="D49" t="s">
        <v>108</v>
      </c>
      <c r="E49" s="5">
        <v>1284</v>
      </c>
      <c r="F49" s="5">
        <v>270</v>
      </c>
      <c r="G49" s="5">
        <v>192</v>
      </c>
      <c r="H49" s="5">
        <v>78</v>
      </c>
      <c r="I49" s="5">
        <v>1284000</v>
      </c>
      <c r="J49" s="5">
        <v>270000</v>
      </c>
      <c r="K49" s="5">
        <v>192000</v>
      </c>
      <c r="L49" s="5">
        <v>78000</v>
      </c>
      <c r="M49" s="5">
        <v>22500</v>
      </c>
      <c r="N49" s="5">
        <v>16000</v>
      </c>
      <c r="O49" s="5">
        <v>6500</v>
      </c>
      <c r="P49" s="24">
        <v>0.28888888888888886</v>
      </c>
      <c r="Q49" s="5">
        <v>1.40625</v>
      </c>
    </row>
    <row r="50" spans="1:17" x14ac:dyDescent="0.2">
      <c r="A50">
        <v>2018</v>
      </c>
      <c r="B50" t="s">
        <v>22</v>
      </c>
      <c r="C50" t="s">
        <v>109</v>
      </c>
      <c r="D50" t="s">
        <v>110</v>
      </c>
      <c r="E50" s="5">
        <v>1131</v>
      </c>
      <c r="F50" s="5">
        <v>242</v>
      </c>
      <c r="G50" s="5">
        <v>181</v>
      </c>
      <c r="H50" s="5">
        <v>61</v>
      </c>
      <c r="I50" s="5">
        <v>1131000</v>
      </c>
      <c r="J50" s="5">
        <v>242000</v>
      </c>
      <c r="K50" s="5">
        <v>181000</v>
      </c>
      <c r="L50" s="5">
        <v>61000</v>
      </c>
      <c r="M50" s="5">
        <v>20166.666666666668</v>
      </c>
      <c r="N50" s="5">
        <v>15083.333333333334</v>
      </c>
      <c r="O50" s="5">
        <v>5083.333333333333</v>
      </c>
      <c r="P50" s="24">
        <v>0.25206611570247933</v>
      </c>
      <c r="Q50" s="5">
        <v>1.3370165745856353</v>
      </c>
    </row>
    <row r="51" spans="1:17" x14ac:dyDescent="0.2">
      <c r="A51">
        <v>2018</v>
      </c>
      <c r="B51" t="s">
        <v>23</v>
      </c>
      <c r="C51" t="s">
        <v>111</v>
      </c>
      <c r="D51" t="s">
        <v>112</v>
      </c>
      <c r="E51" s="5">
        <v>619</v>
      </c>
      <c r="F51" s="5">
        <v>243</v>
      </c>
      <c r="G51" s="5">
        <v>187</v>
      </c>
      <c r="H51" s="5">
        <v>56</v>
      </c>
      <c r="I51" s="5">
        <v>619000</v>
      </c>
      <c r="J51" s="5">
        <v>243000</v>
      </c>
      <c r="K51" s="5">
        <v>187000</v>
      </c>
      <c r="L51" s="5">
        <v>56000</v>
      </c>
      <c r="M51" s="5">
        <v>20250</v>
      </c>
      <c r="N51" s="5">
        <v>15583.333333333334</v>
      </c>
      <c r="O51" s="5">
        <v>4666.666666666667</v>
      </c>
      <c r="P51" s="24">
        <v>0.23045267489711935</v>
      </c>
      <c r="Q51" s="5">
        <v>1.2994652406417113</v>
      </c>
    </row>
    <row r="52" spans="1:17" x14ac:dyDescent="0.2">
      <c r="A52">
        <v>2018</v>
      </c>
      <c r="B52" t="s">
        <v>24</v>
      </c>
      <c r="C52" t="s">
        <v>24</v>
      </c>
      <c r="D52" t="s">
        <v>67</v>
      </c>
      <c r="E52" s="5">
        <v>657</v>
      </c>
      <c r="F52" s="5">
        <v>161</v>
      </c>
      <c r="G52" s="5">
        <v>127</v>
      </c>
      <c r="H52" s="5">
        <v>34</v>
      </c>
      <c r="I52" s="5">
        <v>657000</v>
      </c>
      <c r="J52" s="5">
        <v>161000</v>
      </c>
      <c r="K52" s="5">
        <v>127000</v>
      </c>
      <c r="L52" s="5">
        <v>34000</v>
      </c>
      <c r="M52" s="5">
        <v>13416.666666666666</v>
      </c>
      <c r="N52" s="5">
        <v>10583.333333333334</v>
      </c>
      <c r="O52" s="5">
        <v>2833.3333333333335</v>
      </c>
      <c r="P52" s="24">
        <v>0.21118012422360249</v>
      </c>
      <c r="Q52" s="5">
        <v>1.2677165354330708</v>
      </c>
    </row>
    <row r="53" spans="1:17" x14ac:dyDescent="0.2">
      <c r="A53">
        <v>2023</v>
      </c>
      <c r="B53" t="s">
        <v>8</v>
      </c>
      <c r="C53" t="s">
        <v>8</v>
      </c>
      <c r="D53" t="s">
        <v>51</v>
      </c>
      <c r="E53" s="5">
        <v>3633</v>
      </c>
      <c r="F53" s="5">
        <v>514</v>
      </c>
      <c r="G53" s="5">
        <v>385</v>
      </c>
      <c r="H53" s="5">
        <v>128</v>
      </c>
      <c r="I53" s="5">
        <v>3633000</v>
      </c>
      <c r="J53" s="5">
        <v>514000</v>
      </c>
      <c r="K53" s="5">
        <v>385000</v>
      </c>
      <c r="L53" s="5">
        <v>128000</v>
      </c>
      <c r="M53" s="5">
        <v>42833.333333333336</v>
      </c>
      <c r="N53" s="5">
        <v>32083.333333333332</v>
      </c>
      <c r="O53" s="5">
        <v>10666.666666666666</v>
      </c>
      <c r="P53" s="24">
        <v>0.24902723735408561</v>
      </c>
      <c r="Q53" s="5">
        <v>1.3350649350649351</v>
      </c>
    </row>
    <row r="54" spans="1:17" x14ac:dyDescent="0.2">
      <c r="A54">
        <v>2023</v>
      </c>
      <c r="B54" t="s">
        <v>9</v>
      </c>
      <c r="C54" t="s">
        <v>9</v>
      </c>
      <c r="D54" t="s">
        <v>52</v>
      </c>
      <c r="E54" s="5">
        <v>464</v>
      </c>
      <c r="F54" s="5">
        <v>359</v>
      </c>
      <c r="G54" s="5">
        <v>248</v>
      </c>
      <c r="H54" s="5">
        <v>111</v>
      </c>
      <c r="I54" s="5">
        <v>464000</v>
      </c>
      <c r="J54" s="5">
        <v>359000</v>
      </c>
      <c r="K54" s="5">
        <v>248000</v>
      </c>
      <c r="L54" s="5">
        <v>111000</v>
      </c>
      <c r="M54" s="5">
        <v>29916.666666666668</v>
      </c>
      <c r="N54" s="5">
        <v>20666.666666666668</v>
      </c>
      <c r="O54" s="5">
        <v>9250</v>
      </c>
      <c r="P54" s="24">
        <v>0.30919220055710306</v>
      </c>
      <c r="Q54" s="5">
        <v>1.4475806451612903</v>
      </c>
    </row>
    <row r="55" spans="1:17" x14ac:dyDescent="0.2">
      <c r="A55">
        <v>2023</v>
      </c>
      <c r="B55" t="s">
        <v>10</v>
      </c>
      <c r="C55" t="s">
        <v>87</v>
      </c>
      <c r="D55" t="s">
        <v>88</v>
      </c>
      <c r="E55" s="5">
        <v>1307</v>
      </c>
      <c r="F55" s="5">
        <v>340</v>
      </c>
      <c r="G55" s="5">
        <v>232</v>
      </c>
      <c r="H55" s="5">
        <v>107</v>
      </c>
      <c r="I55" s="5">
        <v>1307000</v>
      </c>
      <c r="J55" s="5">
        <v>340000</v>
      </c>
      <c r="K55" s="5">
        <v>232000</v>
      </c>
      <c r="L55" s="5">
        <v>107000</v>
      </c>
      <c r="M55" s="5">
        <v>28333.333333333332</v>
      </c>
      <c r="N55" s="5">
        <v>19333.333333333332</v>
      </c>
      <c r="O55" s="5">
        <v>8916.6666666666661</v>
      </c>
      <c r="P55" s="24">
        <v>0.31470588235294117</v>
      </c>
      <c r="Q55" s="5">
        <v>1.4655172413793103</v>
      </c>
    </row>
    <row r="56" spans="1:17" x14ac:dyDescent="0.2">
      <c r="A56">
        <v>2023</v>
      </c>
      <c r="B56" t="s">
        <v>11</v>
      </c>
      <c r="C56" t="s">
        <v>89</v>
      </c>
      <c r="D56" t="s">
        <v>90</v>
      </c>
      <c r="E56" s="5">
        <v>926</v>
      </c>
      <c r="F56" s="5">
        <v>311</v>
      </c>
      <c r="G56" s="5">
        <v>214</v>
      </c>
      <c r="H56" s="5">
        <v>97</v>
      </c>
      <c r="I56" s="5">
        <v>926000</v>
      </c>
      <c r="J56" s="5">
        <v>311000</v>
      </c>
      <c r="K56" s="5">
        <v>214000</v>
      </c>
      <c r="L56" s="5">
        <v>97000</v>
      </c>
      <c r="M56" s="5">
        <v>25916.666666666668</v>
      </c>
      <c r="N56" s="5">
        <v>17833.333333333332</v>
      </c>
      <c r="O56" s="5">
        <v>8083.333333333333</v>
      </c>
      <c r="P56" s="24">
        <v>0.31189710610932475</v>
      </c>
      <c r="Q56" s="5">
        <v>1.4532710280373833</v>
      </c>
    </row>
    <row r="57" spans="1:17" x14ac:dyDescent="0.2">
      <c r="A57">
        <v>2023</v>
      </c>
      <c r="B57" t="s">
        <v>12</v>
      </c>
      <c r="C57" t="s">
        <v>91</v>
      </c>
      <c r="D57" t="s">
        <v>92</v>
      </c>
      <c r="E57" s="5">
        <v>3123</v>
      </c>
      <c r="F57" s="5">
        <v>375</v>
      </c>
      <c r="G57" s="5">
        <v>299</v>
      </c>
      <c r="H57" s="5">
        <v>77</v>
      </c>
      <c r="I57" s="5">
        <v>3123000</v>
      </c>
      <c r="J57" s="5">
        <v>375000</v>
      </c>
      <c r="K57" s="5">
        <v>299000</v>
      </c>
      <c r="L57" s="5">
        <v>77000</v>
      </c>
      <c r="M57" s="5">
        <v>31250</v>
      </c>
      <c r="N57" s="5">
        <v>24916.666666666668</v>
      </c>
      <c r="O57" s="5">
        <v>6416.666666666667</v>
      </c>
      <c r="P57" s="24">
        <v>0.20533333333333334</v>
      </c>
      <c r="Q57" s="5">
        <v>1.254180602006689</v>
      </c>
    </row>
    <row r="58" spans="1:17" x14ac:dyDescent="0.2">
      <c r="A58">
        <v>2023</v>
      </c>
      <c r="B58" t="s">
        <v>13</v>
      </c>
      <c r="C58" t="s">
        <v>93</v>
      </c>
      <c r="D58" t="s">
        <v>94</v>
      </c>
      <c r="E58" s="5">
        <v>4304</v>
      </c>
      <c r="F58" s="5">
        <v>427</v>
      </c>
      <c r="G58" s="5">
        <v>310</v>
      </c>
      <c r="H58" s="5">
        <v>116</v>
      </c>
      <c r="I58" s="5">
        <v>4304000</v>
      </c>
      <c r="J58" s="5">
        <v>427000</v>
      </c>
      <c r="K58" s="5">
        <v>310000</v>
      </c>
      <c r="L58" s="5">
        <v>116000</v>
      </c>
      <c r="M58" s="5">
        <v>35583.333333333336</v>
      </c>
      <c r="N58" s="5">
        <v>25833.333333333332</v>
      </c>
      <c r="O58" s="5">
        <v>9666.6666666666661</v>
      </c>
      <c r="P58" s="24">
        <v>0.27166276346604218</v>
      </c>
      <c r="Q58" s="5">
        <v>1.3774193548387097</v>
      </c>
    </row>
    <row r="59" spans="1:17" x14ac:dyDescent="0.2">
      <c r="A59">
        <v>2023</v>
      </c>
      <c r="B59" t="s">
        <v>14</v>
      </c>
      <c r="C59" t="s">
        <v>14</v>
      </c>
      <c r="D59" t="s">
        <v>57</v>
      </c>
      <c r="E59" s="5">
        <v>819</v>
      </c>
      <c r="F59" s="5">
        <v>267</v>
      </c>
      <c r="G59" s="5">
        <v>190</v>
      </c>
      <c r="H59" s="5">
        <v>78</v>
      </c>
      <c r="I59" s="5">
        <v>819000</v>
      </c>
      <c r="J59" s="5">
        <v>267000</v>
      </c>
      <c r="K59" s="5">
        <v>190000</v>
      </c>
      <c r="L59" s="5">
        <v>78000</v>
      </c>
      <c r="M59" s="5">
        <v>22250</v>
      </c>
      <c r="N59" s="5">
        <v>15833.333333333334</v>
      </c>
      <c r="O59" s="5">
        <v>6500</v>
      </c>
      <c r="P59" s="24">
        <v>0.29213483146067415</v>
      </c>
      <c r="Q59" s="5">
        <v>1.4052631578947368</v>
      </c>
    </row>
    <row r="60" spans="1:17" x14ac:dyDescent="0.2">
      <c r="A60">
        <v>2023</v>
      </c>
      <c r="B60" t="s">
        <v>15</v>
      </c>
      <c r="C60" t="s">
        <v>95</v>
      </c>
      <c r="D60" t="s">
        <v>96</v>
      </c>
      <c r="E60" s="5">
        <v>1374</v>
      </c>
      <c r="F60" s="5">
        <v>287</v>
      </c>
      <c r="G60" s="5">
        <v>203</v>
      </c>
      <c r="H60" s="5">
        <v>85</v>
      </c>
      <c r="I60" s="5">
        <v>1374000</v>
      </c>
      <c r="J60" s="5">
        <v>287000</v>
      </c>
      <c r="K60" s="5">
        <v>203000</v>
      </c>
      <c r="L60" s="5">
        <v>85000</v>
      </c>
      <c r="M60" s="5">
        <v>23916.666666666668</v>
      </c>
      <c r="N60" s="5">
        <v>16916.666666666668</v>
      </c>
      <c r="O60" s="5">
        <v>7083.333333333333</v>
      </c>
      <c r="P60" s="24">
        <v>0.29616724738675959</v>
      </c>
      <c r="Q60" s="5">
        <v>1.4137931034482758</v>
      </c>
    </row>
    <row r="61" spans="1:17" x14ac:dyDescent="0.2">
      <c r="A61">
        <v>2023</v>
      </c>
      <c r="B61" t="s">
        <v>16</v>
      </c>
      <c r="C61" t="s">
        <v>97</v>
      </c>
      <c r="D61" t="s">
        <v>98</v>
      </c>
      <c r="E61" s="5">
        <v>2019</v>
      </c>
      <c r="F61" s="5">
        <v>298</v>
      </c>
      <c r="G61" s="5">
        <v>225</v>
      </c>
      <c r="H61" s="5">
        <v>73</v>
      </c>
      <c r="I61" s="5">
        <v>2019000</v>
      </c>
      <c r="J61" s="5">
        <v>298000</v>
      </c>
      <c r="K61" s="5">
        <v>225000</v>
      </c>
      <c r="L61" s="5">
        <v>73000</v>
      </c>
      <c r="M61" s="5">
        <v>24833.333333333332</v>
      </c>
      <c r="N61" s="5">
        <v>18750</v>
      </c>
      <c r="O61" s="5">
        <v>6083.333333333333</v>
      </c>
      <c r="P61" s="24">
        <v>0.24496644295302014</v>
      </c>
      <c r="Q61" s="5">
        <v>1.3244444444444445</v>
      </c>
    </row>
    <row r="62" spans="1:17" x14ac:dyDescent="0.2">
      <c r="A62">
        <v>2023</v>
      </c>
      <c r="B62" t="s">
        <v>17</v>
      </c>
      <c r="C62" t="s">
        <v>99</v>
      </c>
      <c r="D62" t="s">
        <v>100</v>
      </c>
      <c r="E62" s="5">
        <v>2053</v>
      </c>
      <c r="F62" s="5">
        <v>317</v>
      </c>
      <c r="G62" s="5">
        <v>210</v>
      </c>
      <c r="H62" s="5">
        <v>107</v>
      </c>
      <c r="I62" s="5">
        <v>2053000</v>
      </c>
      <c r="J62" s="5">
        <v>317000</v>
      </c>
      <c r="K62" s="5">
        <v>210000</v>
      </c>
      <c r="L62" s="5">
        <v>107000</v>
      </c>
      <c r="M62" s="5">
        <v>26416.666666666668</v>
      </c>
      <c r="N62" s="5">
        <v>17500</v>
      </c>
      <c r="O62" s="5">
        <v>8916.6666666666661</v>
      </c>
      <c r="P62" s="24">
        <v>0.33753943217665616</v>
      </c>
      <c r="Q62" s="5">
        <v>1.5095238095238095</v>
      </c>
    </row>
    <row r="63" spans="1:17" x14ac:dyDescent="0.2">
      <c r="A63">
        <v>2023</v>
      </c>
      <c r="B63" t="s">
        <v>18</v>
      </c>
      <c r="C63" t="s">
        <v>101</v>
      </c>
      <c r="D63" t="s">
        <v>102</v>
      </c>
      <c r="E63" s="5">
        <v>1185</v>
      </c>
      <c r="F63" s="5">
        <v>267</v>
      </c>
      <c r="G63" s="5">
        <v>200</v>
      </c>
      <c r="H63" s="5">
        <v>67</v>
      </c>
      <c r="I63" s="5">
        <v>1185000</v>
      </c>
      <c r="J63" s="5">
        <v>267000</v>
      </c>
      <c r="K63" s="5">
        <v>200000</v>
      </c>
      <c r="L63" s="5">
        <v>67000</v>
      </c>
      <c r="M63" s="5">
        <v>22250</v>
      </c>
      <c r="N63" s="5">
        <v>16666.666666666668</v>
      </c>
      <c r="O63" s="5">
        <v>5583.333333333333</v>
      </c>
      <c r="P63" s="24">
        <v>0.25093632958801498</v>
      </c>
      <c r="Q63" s="5">
        <v>1.335</v>
      </c>
    </row>
    <row r="64" spans="1:17" x14ac:dyDescent="0.2">
      <c r="A64">
        <v>2023</v>
      </c>
      <c r="B64" t="s">
        <v>19</v>
      </c>
      <c r="C64" t="s">
        <v>103</v>
      </c>
      <c r="D64" t="s">
        <v>104</v>
      </c>
      <c r="E64" s="5">
        <v>897</v>
      </c>
      <c r="F64" s="5">
        <v>257</v>
      </c>
      <c r="G64" s="5">
        <v>201</v>
      </c>
      <c r="H64" s="5">
        <v>56</v>
      </c>
      <c r="I64" s="5">
        <v>897000</v>
      </c>
      <c r="J64" s="5">
        <v>257000</v>
      </c>
      <c r="K64" s="5">
        <v>201000</v>
      </c>
      <c r="L64" s="5">
        <v>56000</v>
      </c>
      <c r="M64" s="5">
        <v>21416.666666666668</v>
      </c>
      <c r="N64" s="5">
        <v>16750</v>
      </c>
      <c r="O64" s="5">
        <v>4666.666666666667</v>
      </c>
      <c r="P64" s="24">
        <v>0.21789883268482491</v>
      </c>
      <c r="Q64" s="5">
        <v>1.2786069651741294</v>
      </c>
    </row>
    <row r="65" spans="1:17" x14ac:dyDescent="0.2">
      <c r="A65">
        <v>2023</v>
      </c>
      <c r="B65" t="s">
        <v>20</v>
      </c>
      <c r="C65" t="s">
        <v>105</v>
      </c>
      <c r="D65" t="s">
        <v>106</v>
      </c>
      <c r="E65" s="5">
        <v>1236</v>
      </c>
      <c r="F65" s="5">
        <v>296</v>
      </c>
      <c r="G65" s="5">
        <v>203</v>
      </c>
      <c r="H65" s="5">
        <v>94</v>
      </c>
      <c r="I65" s="5">
        <v>1236000</v>
      </c>
      <c r="J65" s="5">
        <v>296000</v>
      </c>
      <c r="K65" s="5">
        <v>203000</v>
      </c>
      <c r="L65" s="5">
        <v>94000</v>
      </c>
      <c r="M65" s="5">
        <v>24666.666666666668</v>
      </c>
      <c r="N65" s="5">
        <v>16916.666666666668</v>
      </c>
      <c r="O65" s="5">
        <v>7833.333333333333</v>
      </c>
      <c r="P65" s="24">
        <v>0.31756756756756754</v>
      </c>
      <c r="Q65" s="5">
        <v>1.458128078817734</v>
      </c>
    </row>
    <row r="66" spans="1:17" x14ac:dyDescent="0.2">
      <c r="A66">
        <v>2023</v>
      </c>
      <c r="B66" t="s">
        <v>21</v>
      </c>
      <c r="C66" t="s">
        <v>107</v>
      </c>
      <c r="D66" t="s">
        <v>108</v>
      </c>
      <c r="E66" s="5">
        <v>1469</v>
      </c>
      <c r="F66" s="5">
        <v>319</v>
      </c>
      <c r="G66" s="5">
        <v>204</v>
      </c>
      <c r="H66" s="5">
        <v>115</v>
      </c>
      <c r="I66" s="5">
        <v>1469000</v>
      </c>
      <c r="J66" s="5">
        <v>319000</v>
      </c>
      <c r="K66" s="5">
        <v>204000</v>
      </c>
      <c r="L66" s="5">
        <v>115000</v>
      </c>
      <c r="M66" s="5">
        <v>26583.333333333332</v>
      </c>
      <c r="N66" s="5">
        <v>17000</v>
      </c>
      <c r="O66" s="5">
        <v>9583.3333333333339</v>
      </c>
      <c r="P66" s="24">
        <v>0.36050156739811912</v>
      </c>
      <c r="Q66" s="5">
        <v>1.5637254901960784</v>
      </c>
    </row>
    <row r="67" spans="1:17" x14ac:dyDescent="0.2">
      <c r="A67">
        <v>2023</v>
      </c>
      <c r="B67" t="s">
        <v>22</v>
      </c>
      <c r="C67" t="s">
        <v>109</v>
      </c>
      <c r="D67" t="s">
        <v>110</v>
      </c>
      <c r="E67" s="5">
        <v>1138</v>
      </c>
      <c r="F67" s="5">
        <v>282</v>
      </c>
      <c r="G67" s="5">
        <v>202</v>
      </c>
      <c r="H67" s="5">
        <v>80</v>
      </c>
      <c r="I67" s="5">
        <v>1138000</v>
      </c>
      <c r="J67" s="5">
        <v>282000</v>
      </c>
      <c r="K67" s="5">
        <v>202000</v>
      </c>
      <c r="L67" s="5">
        <v>80000</v>
      </c>
      <c r="M67" s="5">
        <v>23500</v>
      </c>
      <c r="N67" s="5">
        <v>16833.333333333332</v>
      </c>
      <c r="O67" s="5">
        <v>6666.666666666667</v>
      </c>
      <c r="P67" s="24">
        <v>0.28368794326241137</v>
      </c>
      <c r="Q67" s="5">
        <v>1.3960396039603959</v>
      </c>
    </row>
    <row r="68" spans="1:17" x14ac:dyDescent="0.2">
      <c r="A68">
        <v>2023</v>
      </c>
      <c r="B68" t="s">
        <v>23</v>
      </c>
      <c r="C68" t="s">
        <v>111</v>
      </c>
      <c r="D68" t="s">
        <v>112</v>
      </c>
      <c r="E68" s="5">
        <v>694</v>
      </c>
      <c r="F68" s="5">
        <v>277</v>
      </c>
      <c r="G68" s="5">
        <v>213</v>
      </c>
      <c r="H68" s="5">
        <v>63</v>
      </c>
      <c r="I68" s="5">
        <v>694000</v>
      </c>
      <c r="J68" s="5">
        <v>277000</v>
      </c>
      <c r="K68" s="5">
        <v>213000</v>
      </c>
      <c r="L68" s="5">
        <v>63000</v>
      </c>
      <c r="M68" s="5">
        <v>23083.333333333332</v>
      </c>
      <c r="N68" s="5">
        <v>17750</v>
      </c>
      <c r="O68" s="5">
        <v>5250</v>
      </c>
      <c r="P68" s="24">
        <v>0.22743682310469315</v>
      </c>
      <c r="Q68" s="5">
        <v>1.300469483568075</v>
      </c>
    </row>
    <row r="69" spans="1:17" x14ac:dyDescent="0.2">
      <c r="A69">
        <v>2023</v>
      </c>
      <c r="B69" t="s">
        <v>24</v>
      </c>
      <c r="C69" t="s">
        <v>24</v>
      </c>
      <c r="D69" t="s">
        <v>67</v>
      </c>
      <c r="E69" s="5">
        <v>837</v>
      </c>
      <c r="F69" s="5">
        <v>207</v>
      </c>
      <c r="G69" s="5">
        <v>169</v>
      </c>
      <c r="H69" s="5">
        <v>38</v>
      </c>
      <c r="I69" s="5">
        <v>837000</v>
      </c>
      <c r="J69" s="5">
        <v>207000</v>
      </c>
      <c r="K69" s="5">
        <v>169000</v>
      </c>
      <c r="L69" s="5">
        <v>38000</v>
      </c>
      <c r="M69" s="5">
        <v>17250</v>
      </c>
      <c r="N69" s="5">
        <v>14083.333333333334</v>
      </c>
      <c r="O69" s="5">
        <v>3166.6666666666665</v>
      </c>
      <c r="P69" s="24">
        <v>0.18357487922705315</v>
      </c>
      <c r="Q69" s="5">
        <v>1.2248520710059172</v>
      </c>
    </row>
    <row r="70" spans="1:17" x14ac:dyDescent="0.2">
      <c r="M70" s="5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7855-1B06-3644-9427-E6A751E3B1E8}">
  <dimension ref="A1:D38"/>
  <sheetViews>
    <sheetView topLeftCell="A2" workbookViewId="0">
      <selection activeCell="G21" sqref="G21"/>
    </sheetView>
  </sheetViews>
  <sheetFormatPr baseColWidth="10" defaultRowHeight="16" x14ac:dyDescent="0.2"/>
  <cols>
    <col min="1" max="1" width="48.1640625" customWidth="1"/>
    <col min="2" max="2" width="18.33203125" customWidth="1"/>
    <col min="3" max="3" width="18.5" customWidth="1"/>
    <col min="4" max="4" width="18.83203125" customWidth="1"/>
  </cols>
  <sheetData>
    <row r="1" spans="1:4" ht="56" customHeight="1" x14ac:dyDescent="0.2">
      <c r="A1" s="36" t="s">
        <v>44</v>
      </c>
      <c r="B1" s="36"/>
      <c r="C1" s="36"/>
      <c r="D1" s="36"/>
    </row>
    <row r="2" spans="1:4" x14ac:dyDescent="0.2">
      <c r="A2" s="37" t="s">
        <v>45</v>
      </c>
      <c r="B2" s="37"/>
      <c r="C2" s="37"/>
      <c r="D2" s="37"/>
    </row>
    <row r="3" spans="1:4" x14ac:dyDescent="0.2">
      <c r="A3" s="9"/>
      <c r="B3" s="9"/>
      <c r="C3" s="9"/>
      <c r="D3" s="9"/>
    </row>
    <row r="4" spans="1:4" x14ac:dyDescent="0.2">
      <c r="A4" s="38" t="s">
        <v>2</v>
      </c>
      <c r="B4" s="38" t="s">
        <v>46</v>
      </c>
      <c r="C4" s="38"/>
      <c r="D4" s="38"/>
    </row>
    <row r="5" spans="1:4" x14ac:dyDescent="0.2">
      <c r="A5" s="38"/>
      <c r="B5" s="10" t="s">
        <v>47</v>
      </c>
      <c r="C5" s="10" t="s">
        <v>48</v>
      </c>
      <c r="D5" s="10" t="s">
        <v>49</v>
      </c>
    </row>
    <row r="6" spans="1:4" x14ac:dyDescent="0.2">
      <c r="A6" s="11"/>
      <c r="B6" s="11"/>
      <c r="C6" s="11"/>
      <c r="D6" s="11"/>
    </row>
    <row r="7" spans="1:4" x14ac:dyDescent="0.2">
      <c r="A7" s="12" t="s">
        <v>50</v>
      </c>
      <c r="B7" s="13">
        <v>20309.03353973163</v>
      </c>
      <c r="C7" s="13">
        <v>1234.6142464670418</v>
      </c>
      <c r="D7" s="13">
        <v>21543.647786198671</v>
      </c>
    </row>
    <row r="8" spans="1:4" x14ac:dyDescent="0.2">
      <c r="A8" s="14"/>
      <c r="B8" s="15"/>
      <c r="C8" s="15"/>
      <c r="D8" s="15"/>
    </row>
    <row r="9" spans="1:4" x14ac:dyDescent="0.2">
      <c r="A9" s="16" t="s">
        <v>51</v>
      </c>
      <c r="B9" s="17">
        <v>27318.098812781238</v>
      </c>
      <c r="C9" s="17">
        <v>1991.6839026894593</v>
      </c>
      <c r="D9" s="17">
        <v>29309.782715470697</v>
      </c>
    </row>
    <row r="10" spans="1:4" x14ac:dyDescent="0.2">
      <c r="A10" s="16" t="s">
        <v>52</v>
      </c>
      <c r="B10" s="17">
        <v>16548.320869565217</v>
      </c>
      <c r="C10" s="17">
        <v>884.10788741895249</v>
      </c>
      <c r="D10" s="17">
        <v>17432.428756984169</v>
      </c>
    </row>
    <row r="11" spans="1:4" x14ac:dyDescent="0.2">
      <c r="A11" s="16" t="s">
        <v>53</v>
      </c>
      <c r="B11" s="17">
        <v>14247.540700892228</v>
      </c>
      <c r="C11" s="17">
        <v>531.96258860747503</v>
      </c>
      <c r="D11" s="17">
        <v>14779.503289499704</v>
      </c>
    </row>
    <row r="12" spans="1:4" x14ac:dyDescent="0.2">
      <c r="A12" s="16" t="s">
        <v>54</v>
      </c>
      <c r="B12" s="17">
        <v>14849.030931004734</v>
      </c>
      <c r="C12" s="17">
        <v>303.665868731785</v>
      </c>
      <c r="D12" s="17">
        <v>15152.696799736519</v>
      </c>
    </row>
    <row r="13" spans="1:4" x14ac:dyDescent="0.2">
      <c r="A13" s="16" t="s">
        <v>55</v>
      </c>
      <c r="B13" s="17">
        <v>17372.497888357397</v>
      </c>
      <c r="C13" s="17">
        <v>901.84947420746767</v>
      </c>
      <c r="D13" s="17">
        <v>18274.347362564866</v>
      </c>
    </row>
    <row r="14" spans="1:4" x14ac:dyDescent="0.2">
      <c r="A14" s="16" t="s">
        <v>56</v>
      </c>
      <c r="B14" s="17">
        <v>18753.728874891687</v>
      </c>
      <c r="C14" s="17">
        <v>957.73317563569424</v>
      </c>
      <c r="D14" s="17">
        <v>19711.462050527382</v>
      </c>
    </row>
    <row r="15" spans="1:4" x14ac:dyDescent="0.2">
      <c r="A15" s="16" t="s">
        <v>57</v>
      </c>
      <c r="B15" s="17">
        <v>13418.198173969764</v>
      </c>
      <c r="C15" s="17">
        <v>819.85297446359721</v>
      </c>
      <c r="D15" s="17">
        <v>14238.051148433362</v>
      </c>
    </row>
    <row r="16" spans="1:4" x14ac:dyDescent="0.2">
      <c r="A16" s="16" t="s">
        <v>58</v>
      </c>
      <c r="B16" s="17">
        <v>13045.025961328934</v>
      </c>
      <c r="C16" s="17">
        <v>706.40900121801951</v>
      </c>
      <c r="D16" s="17">
        <v>13751.434962546955</v>
      </c>
    </row>
    <row r="17" spans="1:4" x14ac:dyDescent="0.2">
      <c r="A17" s="16" t="s">
        <v>59</v>
      </c>
      <c r="B17" s="17">
        <v>15326.451150077166</v>
      </c>
      <c r="C17" s="17">
        <v>777.47092362718877</v>
      </c>
      <c r="D17" s="17">
        <v>16103.922073704354</v>
      </c>
    </row>
    <row r="18" spans="1:4" x14ac:dyDescent="0.2">
      <c r="A18" s="16" t="s">
        <v>60</v>
      </c>
      <c r="B18" s="17">
        <v>18055.017160078165</v>
      </c>
      <c r="C18" s="17">
        <v>1028.5164038530497</v>
      </c>
      <c r="D18" s="17">
        <v>19083.533563931214</v>
      </c>
    </row>
    <row r="19" spans="1:4" x14ac:dyDescent="0.2">
      <c r="A19" s="16" t="s">
        <v>61</v>
      </c>
      <c r="B19" s="17">
        <v>12828.084638508513</v>
      </c>
      <c r="C19" s="17">
        <v>638.9618574827166</v>
      </c>
      <c r="D19" s="17">
        <v>13467.04649599123</v>
      </c>
    </row>
    <row r="20" spans="1:4" x14ac:dyDescent="0.2">
      <c r="A20" s="16" t="s">
        <v>62</v>
      </c>
      <c r="B20" s="17">
        <v>11861.925657009047</v>
      </c>
      <c r="C20" s="17">
        <v>358.42297787440441</v>
      </c>
      <c r="D20" s="17">
        <v>12220.348634883452</v>
      </c>
    </row>
    <row r="21" spans="1:4" x14ac:dyDescent="0.2">
      <c r="A21" s="16" t="s">
        <v>63</v>
      </c>
      <c r="B21" s="17">
        <v>14072.325258580968</v>
      </c>
      <c r="C21" s="17">
        <v>446.62862762680317</v>
      </c>
      <c r="D21" s="17">
        <v>14518.953886207772</v>
      </c>
    </row>
    <row r="22" spans="1:4" x14ac:dyDescent="0.2">
      <c r="A22" s="16" t="s">
        <v>64</v>
      </c>
      <c r="B22" s="17">
        <v>17162.978790079131</v>
      </c>
      <c r="C22" s="17">
        <v>789.82747275372219</v>
      </c>
      <c r="D22" s="17">
        <v>17952.806262832852</v>
      </c>
    </row>
    <row r="23" spans="1:4" x14ac:dyDescent="0.2">
      <c r="A23" s="16" t="s">
        <v>65</v>
      </c>
      <c r="B23" s="17">
        <v>12621.726272367123</v>
      </c>
      <c r="C23" s="17">
        <v>516.29425244565709</v>
      </c>
      <c r="D23" s="17">
        <v>13138.02052481278</v>
      </c>
    </row>
    <row r="24" spans="1:4" x14ac:dyDescent="0.2">
      <c r="A24" s="16" t="s">
        <v>66</v>
      </c>
      <c r="B24" s="17">
        <v>13459.426050753567</v>
      </c>
      <c r="C24" s="17">
        <v>759.84294321030052</v>
      </c>
      <c r="D24" s="17">
        <v>14219.268993963868</v>
      </c>
    </row>
    <row r="25" spans="1:4" x14ac:dyDescent="0.2">
      <c r="A25" s="16" t="s">
        <v>67</v>
      </c>
      <c r="B25" s="17">
        <v>11168.632267744975</v>
      </c>
      <c r="C25" s="17">
        <v>326.33003075919947</v>
      </c>
      <c r="D25" s="17">
        <v>11494.962298504175</v>
      </c>
    </row>
    <row r="26" spans="1:4" x14ac:dyDescent="0.2">
      <c r="A26" s="18"/>
      <c r="B26" s="18"/>
      <c r="C26" s="18"/>
      <c r="D26" s="18"/>
    </row>
    <row r="27" spans="1:4" x14ac:dyDescent="0.2">
      <c r="A27" s="19"/>
      <c r="B27" s="19"/>
      <c r="C27" s="19"/>
      <c r="D27" s="19"/>
    </row>
    <row r="28" spans="1:4" x14ac:dyDescent="0.2">
      <c r="A28" s="20" t="s">
        <v>68</v>
      </c>
      <c r="B28" s="19"/>
      <c r="C28" s="19"/>
      <c r="D28" s="19"/>
    </row>
    <row r="29" spans="1:4" x14ac:dyDescent="0.2">
      <c r="A29" s="20" t="s">
        <v>69</v>
      </c>
      <c r="B29" s="19"/>
      <c r="C29" s="19"/>
      <c r="D29" s="19"/>
    </row>
    <row r="30" spans="1:4" x14ac:dyDescent="0.2">
      <c r="A30" s="21" t="s">
        <v>70</v>
      </c>
      <c r="B30" s="19"/>
      <c r="C30" s="19"/>
      <c r="D30" s="19"/>
    </row>
    <row r="31" spans="1:4" x14ac:dyDescent="0.2">
      <c r="A31" s="21" t="s">
        <v>71</v>
      </c>
      <c r="B31" s="19"/>
      <c r="C31" s="19"/>
      <c r="D31" s="19"/>
    </row>
    <row r="32" spans="1:4" x14ac:dyDescent="0.2">
      <c r="A32" s="21" t="s">
        <v>72</v>
      </c>
      <c r="B32" s="19"/>
      <c r="C32" s="19"/>
      <c r="D32" s="19"/>
    </row>
    <row r="33" spans="1:4" x14ac:dyDescent="0.2">
      <c r="A33" s="21" t="s">
        <v>73</v>
      </c>
      <c r="B33" s="19"/>
      <c r="C33" s="19"/>
      <c r="D33" s="19"/>
    </row>
    <row r="34" spans="1:4" x14ac:dyDescent="0.2">
      <c r="A34" s="21" t="s">
        <v>74</v>
      </c>
      <c r="B34" s="19"/>
      <c r="C34" s="19"/>
      <c r="D34" s="19"/>
    </row>
    <row r="35" spans="1:4" x14ac:dyDescent="0.2">
      <c r="A35" s="21" t="s">
        <v>75</v>
      </c>
      <c r="B35" s="19"/>
      <c r="C35" s="19"/>
      <c r="D35" s="19"/>
    </row>
    <row r="36" spans="1:4" x14ac:dyDescent="0.2">
      <c r="A36" s="21" t="s">
        <v>76</v>
      </c>
      <c r="B36" s="19"/>
      <c r="C36" s="19"/>
      <c r="D36" s="19"/>
    </row>
    <row r="37" spans="1:4" x14ac:dyDescent="0.2">
      <c r="A37" s="21" t="s">
        <v>77</v>
      </c>
      <c r="B37" s="19"/>
      <c r="C37" s="19"/>
      <c r="D37" s="19"/>
    </row>
    <row r="38" spans="1:4" x14ac:dyDescent="0.2">
      <c r="A38" s="20" t="s">
        <v>78</v>
      </c>
      <c r="B38" s="19"/>
      <c r="C38" s="19"/>
      <c r="D38" s="19"/>
    </row>
  </sheetData>
  <mergeCells count="4">
    <mergeCell ref="A1:D1"/>
    <mergeCell ref="A2:D2"/>
    <mergeCell ref="A4:A5"/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56D8-310F-BD4F-8473-D790E5AA3282}">
  <dimension ref="A1:H18"/>
  <sheetViews>
    <sheetView workbookViewId="0">
      <selection activeCell="F16" sqref="F16"/>
    </sheetView>
  </sheetViews>
  <sheetFormatPr baseColWidth="10" defaultRowHeight="16" x14ac:dyDescent="0.2"/>
  <cols>
    <col min="2" max="2" width="44.6640625" bestFit="1" customWidth="1"/>
    <col min="4" max="4" width="44.6640625" bestFit="1" customWidth="1"/>
    <col min="5" max="5" width="24.1640625" style="5" bestFit="1" customWidth="1"/>
    <col min="6" max="7" width="24.5" style="5" bestFit="1" customWidth="1"/>
  </cols>
  <sheetData>
    <row r="1" spans="1:8" x14ac:dyDescent="0.2">
      <c r="A1" t="s">
        <v>27</v>
      </c>
      <c r="B1" t="s">
        <v>43</v>
      </c>
      <c r="C1" t="s">
        <v>28</v>
      </c>
      <c r="D1" t="s">
        <v>29</v>
      </c>
      <c r="E1" s="5" t="s">
        <v>79</v>
      </c>
      <c r="F1" s="5" t="s">
        <v>80</v>
      </c>
      <c r="G1" s="5" t="s">
        <v>81</v>
      </c>
      <c r="H1" s="5" t="s">
        <v>82</v>
      </c>
    </row>
    <row r="2" spans="1:8" x14ac:dyDescent="0.2">
      <c r="A2">
        <v>2024</v>
      </c>
      <c r="B2" t="s">
        <v>51</v>
      </c>
      <c r="C2" t="s">
        <v>8</v>
      </c>
      <c r="D2" t="s">
        <v>51</v>
      </c>
      <c r="E2" s="5">
        <v>27318.1</v>
      </c>
      <c r="F2" s="5">
        <v>1991.68</v>
      </c>
      <c r="G2" s="5">
        <v>29309.78</v>
      </c>
      <c r="H2" s="5">
        <v>0</v>
      </c>
    </row>
    <row r="3" spans="1:8" x14ac:dyDescent="0.2">
      <c r="A3">
        <v>2024</v>
      </c>
      <c r="B3" t="s">
        <v>52</v>
      </c>
      <c r="C3" t="s">
        <v>9</v>
      </c>
      <c r="D3" t="s">
        <v>52</v>
      </c>
      <c r="E3" s="5">
        <v>16548.32</v>
      </c>
      <c r="F3" s="5">
        <v>884.11</v>
      </c>
      <c r="G3" s="5">
        <v>17432.43</v>
      </c>
      <c r="H3" s="5">
        <v>0</v>
      </c>
    </row>
    <row r="4" spans="1:8" x14ac:dyDescent="0.2">
      <c r="A4">
        <v>2024</v>
      </c>
      <c r="B4" t="s">
        <v>53</v>
      </c>
      <c r="C4" t="s">
        <v>87</v>
      </c>
      <c r="D4" t="s">
        <v>88</v>
      </c>
      <c r="E4" s="5">
        <v>14247.54</v>
      </c>
      <c r="F4" s="5">
        <v>531.96</v>
      </c>
      <c r="G4" s="5">
        <v>14779.5</v>
      </c>
      <c r="H4" s="5">
        <v>0</v>
      </c>
    </row>
    <row r="5" spans="1:8" x14ac:dyDescent="0.2">
      <c r="A5">
        <v>2024</v>
      </c>
      <c r="B5" t="s">
        <v>54</v>
      </c>
      <c r="C5" t="s">
        <v>89</v>
      </c>
      <c r="D5" t="s">
        <v>90</v>
      </c>
      <c r="E5" s="5">
        <v>14849.03</v>
      </c>
      <c r="F5" s="5">
        <v>303.67</v>
      </c>
      <c r="G5" s="5">
        <v>15152.7</v>
      </c>
      <c r="H5" s="5">
        <v>0</v>
      </c>
    </row>
    <row r="6" spans="1:8" x14ac:dyDescent="0.2">
      <c r="A6">
        <v>2024</v>
      </c>
      <c r="B6" t="s">
        <v>55</v>
      </c>
      <c r="C6" t="s">
        <v>91</v>
      </c>
      <c r="D6" t="s">
        <v>92</v>
      </c>
      <c r="E6" s="5">
        <v>17372.5</v>
      </c>
      <c r="F6" s="5">
        <v>901.85</v>
      </c>
      <c r="G6" s="5">
        <v>18274.349999999999</v>
      </c>
      <c r="H6" s="5">
        <v>0</v>
      </c>
    </row>
    <row r="7" spans="1:8" x14ac:dyDescent="0.2">
      <c r="A7">
        <v>2024</v>
      </c>
      <c r="B7" t="s">
        <v>56</v>
      </c>
      <c r="C7" t="s">
        <v>93</v>
      </c>
      <c r="D7" t="s">
        <v>94</v>
      </c>
      <c r="E7" s="5">
        <v>18753.73</v>
      </c>
      <c r="F7" s="5">
        <v>957.73</v>
      </c>
      <c r="G7" s="5">
        <v>19711.46</v>
      </c>
      <c r="H7" s="5">
        <v>0</v>
      </c>
    </row>
    <row r="8" spans="1:8" x14ac:dyDescent="0.2">
      <c r="A8">
        <v>2024</v>
      </c>
      <c r="B8" t="s">
        <v>57</v>
      </c>
      <c r="C8" t="s">
        <v>14</v>
      </c>
      <c r="D8" t="s">
        <v>57</v>
      </c>
      <c r="E8" s="5">
        <v>13418.2</v>
      </c>
      <c r="F8" s="5">
        <v>819.85</v>
      </c>
      <c r="G8" s="5">
        <v>14238.05</v>
      </c>
      <c r="H8" s="5">
        <v>0</v>
      </c>
    </row>
    <row r="9" spans="1:8" x14ac:dyDescent="0.2">
      <c r="A9">
        <v>2024</v>
      </c>
      <c r="B9" t="s">
        <v>58</v>
      </c>
      <c r="C9" t="s">
        <v>95</v>
      </c>
      <c r="D9" t="s">
        <v>96</v>
      </c>
      <c r="E9" s="5">
        <v>13045.03</v>
      </c>
      <c r="F9" s="5">
        <v>706.41</v>
      </c>
      <c r="G9" s="5">
        <v>13751.43</v>
      </c>
      <c r="H9" s="5">
        <v>0.01</v>
      </c>
    </row>
    <row r="10" spans="1:8" x14ac:dyDescent="0.2">
      <c r="A10">
        <v>2024</v>
      </c>
      <c r="B10" t="s">
        <v>59</v>
      </c>
      <c r="C10" t="s">
        <v>97</v>
      </c>
      <c r="D10" t="s">
        <v>98</v>
      </c>
      <c r="E10" s="5">
        <v>15326.45</v>
      </c>
      <c r="F10" s="5">
        <v>777.47</v>
      </c>
      <c r="G10" s="5">
        <v>16103.92</v>
      </c>
      <c r="H10" s="5">
        <v>0</v>
      </c>
    </row>
    <row r="11" spans="1:8" x14ac:dyDescent="0.2">
      <c r="A11">
        <v>2024</v>
      </c>
      <c r="B11" t="s">
        <v>60</v>
      </c>
      <c r="C11" t="s">
        <v>99</v>
      </c>
      <c r="D11" t="s">
        <v>100</v>
      </c>
      <c r="E11" s="5">
        <v>18055.02</v>
      </c>
      <c r="F11" s="5">
        <v>1028.52</v>
      </c>
      <c r="G11" s="5">
        <v>19083.53</v>
      </c>
      <c r="H11" s="5">
        <v>0.01</v>
      </c>
    </row>
    <row r="12" spans="1:8" x14ac:dyDescent="0.2">
      <c r="A12">
        <v>2024</v>
      </c>
      <c r="B12" t="s">
        <v>61</v>
      </c>
      <c r="C12" t="s">
        <v>101</v>
      </c>
      <c r="D12" t="s">
        <v>102</v>
      </c>
      <c r="E12" s="5">
        <v>12828.08</v>
      </c>
      <c r="F12" s="5">
        <v>638.96</v>
      </c>
      <c r="G12" s="5">
        <v>13467.05</v>
      </c>
      <c r="H12" s="5">
        <v>-0.01</v>
      </c>
    </row>
    <row r="13" spans="1:8" x14ac:dyDescent="0.2">
      <c r="A13">
        <v>2024</v>
      </c>
      <c r="B13" t="s">
        <v>62</v>
      </c>
      <c r="C13" t="s">
        <v>103</v>
      </c>
      <c r="D13" t="s">
        <v>104</v>
      </c>
      <c r="E13" s="5">
        <v>11861.93</v>
      </c>
      <c r="F13" s="5">
        <v>358.42</v>
      </c>
      <c r="G13" s="5">
        <v>12220.35</v>
      </c>
      <c r="H13" s="5">
        <v>0</v>
      </c>
    </row>
    <row r="14" spans="1:8" x14ac:dyDescent="0.2">
      <c r="A14">
        <v>2024</v>
      </c>
      <c r="B14" t="s">
        <v>63</v>
      </c>
      <c r="C14" t="s">
        <v>105</v>
      </c>
      <c r="D14" t="s">
        <v>106</v>
      </c>
      <c r="E14" s="5">
        <v>14072.33</v>
      </c>
      <c r="F14" s="5">
        <v>446.63</v>
      </c>
      <c r="G14" s="5">
        <v>14518.95</v>
      </c>
      <c r="H14" s="5">
        <v>0.01</v>
      </c>
    </row>
    <row r="15" spans="1:8" x14ac:dyDescent="0.2">
      <c r="A15">
        <v>2024</v>
      </c>
      <c r="B15" t="s">
        <v>64</v>
      </c>
      <c r="C15" t="s">
        <v>107</v>
      </c>
      <c r="D15" t="s">
        <v>108</v>
      </c>
      <c r="E15" s="5">
        <v>17162.98</v>
      </c>
      <c r="F15" s="5">
        <v>789.83</v>
      </c>
      <c r="G15" s="5">
        <v>17952.810000000001</v>
      </c>
      <c r="H15" s="5">
        <v>0</v>
      </c>
    </row>
    <row r="16" spans="1:8" x14ac:dyDescent="0.2">
      <c r="A16">
        <v>2024</v>
      </c>
      <c r="B16" t="s">
        <v>65</v>
      </c>
      <c r="C16" t="s">
        <v>109</v>
      </c>
      <c r="D16" t="s">
        <v>110</v>
      </c>
      <c r="E16" s="5">
        <v>12621.73</v>
      </c>
      <c r="F16" s="5">
        <v>516.29</v>
      </c>
      <c r="G16" s="5">
        <v>13138.02</v>
      </c>
      <c r="H16" s="5">
        <v>0</v>
      </c>
    </row>
    <row r="17" spans="1:8" x14ac:dyDescent="0.2">
      <c r="A17">
        <v>2024</v>
      </c>
      <c r="B17" t="s">
        <v>66</v>
      </c>
      <c r="C17" t="s">
        <v>111</v>
      </c>
      <c r="D17" t="s">
        <v>112</v>
      </c>
      <c r="E17" s="5">
        <v>13459.43</v>
      </c>
      <c r="F17" s="5">
        <v>759.84</v>
      </c>
      <c r="G17" s="5">
        <v>14219.27</v>
      </c>
      <c r="H17" s="5">
        <v>0</v>
      </c>
    </row>
    <row r="18" spans="1:8" x14ac:dyDescent="0.2">
      <c r="A18">
        <v>2024</v>
      </c>
      <c r="B18" t="s">
        <v>67</v>
      </c>
      <c r="C18" t="s">
        <v>24</v>
      </c>
      <c r="D18" t="s">
        <v>67</v>
      </c>
      <c r="E18" s="5">
        <v>11168.63</v>
      </c>
      <c r="F18" s="5">
        <v>326.33</v>
      </c>
      <c r="G18" s="5">
        <v>11494.96</v>
      </c>
      <c r="H18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006E-4D86-CA48-B7D1-E122483A1EFC}">
  <dimension ref="A1:F18"/>
  <sheetViews>
    <sheetView workbookViewId="0"/>
  </sheetViews>
  <sheetFormatPr baseColWidth="10" defaultRowHeight="16" x14ac:dyDescent="0.2"/>
  <cols>
    <col min="1" max="1" width="9.5" bestFit="1" customWidth="1"/>
    <col min="2" max="2" width="11" bestFit="1" customWidth="1"/>
    <col min="3" max="3" width="44.6640625" bestFit="1" customWidth="1"/>
    <col min="4" max="4" width="21" bestFit="1" customWidth="1"/>
    <col min="5" max="5" width="44.6640625" bestFit="1" customWidth="1"/>
  </cols>
  <sheetData>
    <row r="1" spans="1:6" x14ac:dyDescent="0.2">
      <c r="A1" t="s">
        <v>83</v>
      </c>
      <c r="B1" t="s">
        <v>28</v>
      </c>
      <c r="C1" t="s">
        <v>29</v>
      </c>
      <c r="D1" t="s">
        <v>84</v>
      </c>
      <c r="E1" t="s">
        <v>85</v>
      </c>
      <c r="F1" t="s">
        <v>86</v>
      </c>
    </row>
    <row r="2" spans="1:6" x14ac:dyDescent="0.2">
      <c r="A2" s="22">
        <v>1</v>
      </c>
      <c r="B2" s="22" t="s">
        <v>8</v>
      </c>
      <c r="C2" s="22" t="s">
        <v>51</v>
      </c>
      <c r="D2" s="22" t="s">
        <v>8</v>
      </c>
      <c r="E2" s="22" t="s">
        <v>51</v>
      </c>
      <c r="F2" s="22"/>
    </row>
    <row r="3" spans="1:6" x14ac:dyDescent="0.2">
      <c r="A3" s="22">
        <v>2</v>
      </c>
      <c r="B3" s="22" t="s">
        <v>9</v>
      </c>
      <c r="C3" s="22" t="s">
        <v>52</v>
      </c>
      <c r="D3" s="22" t="s">
        <v>9</v>
      </c>
      <c r="E3" s="22" t="s">
        <v>52</v>
      </c>
      <c r="F3" s="22"/>
    </row>
    <row r="4" spans="1:6" x14ac:dyDescent="0.2">
      <c r="A4" s="22">
        <v>3</v>
      </c>
      <c r="B4" s="22" t="s">
        <v>87</v>
      </c>
      <c r="C4" s="22" t="s">
        <v>88</v>
      </c>
      <c r="D4" s="22" t="s">
        <v>10</v>
      </c>
      <c r="E4" s="22" t="s">
        <v>53</v>
      </c>
      <c r="F4" s="22"/>
    </row>
    <row r="5" spans="1:6" x14ac:dyDescent="0.2">
      <c r="A5" s="22">
        <v>4</v>
      </c>
      <c r="B5" s="22" t="s">
        <v>89</v>
      </c>
      <c r="C5" s="22" t="s">
        <v>90</v>
      </c>
      <c r="D5" s="22" t="s">
        <v>11</v>
      </c>
      <c r="E5" s="22" t="s">
        <v>54</v>
      </c>
      <c r="F5" s="22"/>
    </row>
    <row r="6" spans="1:6" x14ac:dyDescent="0.2">
      <c r="A6" s="22">
        <v>5</v>
      </c>
      <c r="B6" s="22" t="s">
        <v>91</v>
      </c>
      <c r="C6" s="22" t="s">
        <v>92</v>
      </c>
      <c r="D6" s="22" t="s">
        <v>12</v>
      </c>
      <c r="E6" s="22" t="s">
        <v>55</v>
      </c>
      <c r="F6" s="22"/>
    </row>
    <row r="7" spans="1:6" x14ac:dyDescent="0.2">
      <c r="A7" s="22">
        <v>6</v>
      </c>
      <c r="B7" s="22" t="s">
        <v>93</v>
      </c>
      <c r="C7" s="22" t="s">
        <v>94</v>
      </c>
      <c r="D7" s="22" t="s">
        <v>13</v>
      </c>
      <c r="E7" s="22" t="s">
        <v>56</v>
      </c>
      <c r="F7" s="22"/>
    </row>
    <row r="8" spans="1:6" x14ac:dyDescent="0.2">
      <c r="A8" s="22">
        <v>7</v>
      </c>
      <c r="B8" s="22" t="s">
        <v>14</v>
      </c>
      <c r="C8" s="22" t="s">
        <v>57</v>
      </c>
      <c r="D8" s="22" t="s">
        <v>14</v>
      </c>
      <c r="E8" s="22" t="s">
        <v>57</v>
      </c>
      <c r="F8" s="22"/>
    </row>
    <row r="9" spans="1:6" x14ac:dyDescent="0.2">
      <c r="A9" s="22">
        <v>8</v>
      </c>
      <c r="B9" s="22" t="s">
        <v>95</v>
      </c>
      <c r="C9" s="22" t="s">
        <v>96</v>
      </c>
      <c r="D9" s="22" t="s">
        <v>15</v>
      </c>
      <c r="E9" s="22" t="s">
        <v>58</v>
      </c>
      <c r="F9" s="22"/>
    </row>
    <row r="10" spans="1:6" x14ac:dyDescent="0.2">
      <c r="A10" s="22">
        <v>9</v>
      </c>
      <c r="B10" s="22" t="s">
        <v>97</v>
      </c>
      <c r="C10" s="22" t="s">
        <v>98</v>
      </c>
      <c r="D10" s="22" t="s">
        <v>16</v>
      </c>
      <c r="E10" s="22" t="s">
        <v>59</v>
      </c>
      <c r="F10" s="22"/>
    </row>
    <row r="11" spans="1:6" x14ac:dyDescent="0.2">
      <c r="A11" s="22">
        <v>10</v>
      </c>
      <c r="B11" s="22" t="s">
        <v>99</v>
      </c>
      <c r="C11" s="22" t="s">
        <v>100</v>
      </c>
      <c r="D11" s="22" t="s">
        <v>17</v>
      </c>
      <c r="E11" s="22" t="s">
        <v>60</v>
      </c>
      <c r="F11" s="22"/>
    </row>
    <row r="12" spans="1:6" x14ac:dyDescent="0.2">
      <c r="A12" s="22">
        <v>11</v>
      </c>
      <c r="B12" s="22" t="s">
        <v>101</v>
      </c>
      <c r="C12" s="22" t="s">
        <v>102</v>
      </c>
      <c r="D12" s="22" t="s">
        <v>18</v>
      </c>
      <c r="E12" s="22" t="s">
        <v>61</v>
      </c>
      <c r="F12" s="22"/>
    </row>
    <row r="13" spans="1:6" x14ac:dyDescent="0.2">
      <c r="A13" s="22">
        <v>12</v>
      </c>
      <c r="B13" s="22" t="s">
        <v>103</v>
      </c>
      <c r="C13" s="22" t="s">
        <v>104</v>
      </c>
      <c r="D13" s="22" t="s">
        <v>19</v>
      </c>
      <c r="E13" s="22" t="s">
        <v>62</v>
      </c>
      <c r="F13" s="22"/>
    </row>
    <row r="14" spans="1:6" x14ac:dyDescent="0.2">
      <c r="A14" s="22">
        <v>13</v>
      </c>
      <c r="B14" s="22" t="s">
        <v>105</v>
      </c>
      <c r="C14" s="22" t="s">
        <v>106</v>
      </c>
      <c r="D14" s="22" t="s">
        <v>20</v>
      </c>
      <c r="E14" s="22" t="s">
        <v>63</v>
      </c>
      <c r="F14" s="22"/>
    </row>
    <row r="15" spans="1:6" x14ac:dyDescent="0.2">
      <c r="A15" s="22">
        <v>14</v>
      </c>
      <c r="B15" s="22" t="s">
        <v>107</v>
      </c>
      <c r="C15" s="22" t="s">
        <v>108</v>
      </c>
      <c r="D15" s="22" t="s">
        <v>21</v>
      </c>
      <c r="E15" s="22" t="s">
        <v>64</v>
      </c>
      <c r="F15" s="22"/>
    </row>
    <row r="16" spans="1:6" x14ac:dyDescent="0.2">
      <c r="A16" s="22">
        <v>15</v>
      </c>
      <c r="B16" s="22" t="s">
        <v>109</v>
      </c>
      <c r="C16" s="22" t="s">
        <v>110</v>
      </c>
      <c r="D16" s="22" t="s">
        <v>22</v>
      </c>
      <c r="E16" s="22" t="s">
        <v>65</v>
      </c>
      <c r="F16" s="22"/>
    </row>
    <row r="17" spans="1:6" x14ac:dyDescent="0.2">
      <c r="A17" s="22">
        <v>16</v>
      </c>
      <c r="B17" s="22" t="s">
        <v>111</v>
      </c>
      <c r="C17" s="22" t="s">
        <v>112</v>
      </c>
      <c r="D17" s="22" t="s">
        <v>23</v>
      </c>
      <c r="E17" s="22" t="s">
        <v>66</v>
      </c>
      <c r="F17" s="22"/>
    </row>
    <row r="18" spans="1:6" x14ac:dyDescent="0.2">
      <c r="A18" s="22">
        <v>17</v>
      </c>
      <c r="B18" s="22" t="s">
        <v>24</v>
      </c>
      <c r="C18" s="22" t="s">
        <v>67</v>
      </c>
      <c r="D18" s="22" t="s">
        <v>24</v>
      </c>
      <c r="E18" s="2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87FA-3356-1240-9772-C5006CDF8FA0}">
  <dimension ref="A1:V18"/>
  <sheetViews>
    <sheetView topLeftCell="K1" workbookViewId="0">
      <selection activeCell="H11" sqref="H11"/>
    </sheetView>
  </sheetViews>
  <sheetFormatPr baseColWidth="10" defaultRowHeight="16" x14ac:dyDescent="0.2"/>
  <cols>
    <col min="1" max="1" width="9.5" bestFit="1" customWidth="1"/>
    <col min="2" max="2" width="11" bestFit="1" customWidth="1"/>
    <col min="3" max="3" width="20.5" bestFit="1" customWidth="1"/>
    <col min="4" max="4" width="8.33203125" bestFit="1" customWidth="1"/>
    <col min="5" max="5" width="8.6640625" bestFit="1" customWidth="1"/>
    <col min="6" max="6" width="17" style="6" bestFit="1" customWidth="1"/>
    <col min="7" max="7" width="28" style="7" bestFit="1" customWidth="1"/>
    <col min="8" max="8" width="31.83203125" style="7" bestFit="1" customWidth="1"/>
    <col min="9" max="9" width="27.83203125" style="7" bestFit="1" customWidth="1"/>
    <col min="10" max="10" width="11.1640625" style="8" bestFit="1" customWidth="1"/>
    <col min="11" max="11" width="25.1640625" style="5" bestFit="1" customWidth="1"/>
    <col min="12" max="12" width="24.1640625" style="7" bestFit="1" customWidth="1"/>
    <col min="13" max="14" width="24.5" style="7" bestFit="1" customWidth="1"/>
    <col min="15" max="15" width="34.5" style="5" bestFit="1" customWidth="1"/>
    <col min="16" max="16" width="37" style="7" bestFit="1" customWidth="1"/>
    <col min="17" max="17" width="15.5" style="6" bestFit="1" customWidth="1"/>
    <col min="18" max="18" width="22.33203125" style="6" bestFit="1" customWidth="1"/>
    <col min="19" max="19" width="25.6640625" style="6" bestFit="1" customWidth="1"/>
    <col min="20" max="20" width="15.5" style="6" bestFit="1" customWidth="1"/>
    <col min="21" max="21" width="15.83203125" style="6" bestFit="1" customWidth="1"/>
    <col min="22" max="22" width="12.1640625" style="23" bestFit="1" customWidth="1"/>
  </cols>
  <sheetData>
    <row r="1" spans="1:22" x14ac:dyDescent="0.2">
      <c r="A1" t="s">
        <v>83</v>
      </c>
      <c r="B1" t="s">
        <v>28</v>
      </c>
      <c r="C1" t="s">
        <v>29</v>
      </c>
      <c r="D1" t="s">
        <v>113</v>
      </c>
      <c r="E1" t="s">
        <v>114</v>
      </c>
      <c r="F1" s="6" t="s">
        <v>34</v>
      </c>
      <c r="G1" s="7" t="s">
        <v>115</v>
      </c>
      <c r="H1" s="7" t="s">
        <v>116</v>
      </c>
      <c r="I1" s="7" t="s">
        <v>117</v>
      </c>
      <c r="J1" s="8" t="s">
        <v>41</v>
      </c>
      <c r="K1" s="5" t="s">
        <v>42</v>
      </c>
      <c r="L1" s="7" t="s">
        <v>79</v>
      </c>
      <c r="M1" s="7" t="s">
        <v>80</v>
      </c>
      <c r="N1" s="7" t="s">
        <v>81</v>
      </c>
      <c r="O1" s="5" t="s">
        <v>118</v>
      </c>
      <c r="P1" s="7" t="s">
        <v>119</v>
      </c>
      <c r="Q1" s="6" t="s">
        <v>120</v>
      </c>
      <c r="R1" s="6" t="s">
        <v>121</v>
      </c>
      <c r="S1" s="6" t="s">
        <v>122</v>
      </c>
      <c r="T1" s="6" t="s">
        <v>123</v>
      </c>
      <c r="U1" s="6" t="s">
        <v>124</v>
      </c>
      <c r="V1" s="23" t="s">
        <v>125</v>
      </c>
    </row>
    <row r="2" spans="1:22" x14ac:dyDescent="0.2">
      <c r="A2">
        <f>region_lookup!A2</f>
        <v>1</v>
      </c>
      <c r="B2" t="str">
        <f>region_lookup!B2</f>
        <v>NCR</v>
      </c>
      <c r="C2" t="str">
        <f>region_lookup!C2</f>
        <v>National Capital Region</v>
      </c>
      <c r="D2">
        <v>2023</v>
      </c>
      <c r="E2">
        <v>2024</v>
      </c>
      <c r="F2" s="6">
        <f>SUMIFS(clean_fies!$I:$I,clean_fies!$A:$A,$D2,clean_fies!$C:$C, $B2)</f>
        <v>3633000</v>
      </c>
      <c r="G2" s="7">
        <f>SUMIFS(clean_fies!$M:$M, clean_fies!$A:$A, $D2,clean_fies!$C:$C, $B2)</f>
        <v>42833.333333333336</v>
      </c>
      <c r="H2" s="7">
        <f>SUMIFS(clean_fies!$N:$N,clean_fies!$A:$A, $D2, clean_fies!$C:$C, $B2)</f>
        <v>32083.333333333332</v>
      </c>
      <c r="I2" s="7">
        <f>SUMIFS(clean_fies!$O:$O, clean_fies!$A:$A, $D2, clean_fies!$C:$C, $B2)</f>
        <v>10666.666666666666</v>
      </c>
      <c r="J2" s="8">
        <f>IFERROR(I2/G2, " ")</f>
        <v>0.24902723735408558</v>
      </c>
      <c r="K2" s="5">
        <f>IFERROR(G2/H2, " ")</f>
        <v>1.3350649350649353</v>
      </c>
      <c r="L2" s="7">
        <f>SUMIFS(clean_ows_table!$E:$E,clean_ows_table!$A:$A, $E2, clean_ows_table!$C:$C, $B2)</f>
        <v>27318.1</v>
      </c>
      <c r="M2" s="7">
        <f>SUMIFS(clean_ows_table!$F:$F,clean_ows_table!$A:$A, $E2, clean_ows_table!$C:$C, $B2)</f>
        <v>1991.68</v>
      </c>
      <c r="N2" s="7">
        <f>SUMIFS(clean_ows_table!$G:$G,clean_ows_table!$A:$A, $E2, clean_ows_table!$C:$C, $B2)</f>
        <v>29309.78</v>
      </c>
      <c r="O2" s="5">
        <f>IFERROR(N2/H2, " ")</f>
        <v>0.91355158441558437</v>
      </c>
      <c r="P2" s="7">
        <f>IFERROR(N2-H2, " ")</f>
        <v>-2773.5533333333333</v>
      </c>
      <c r="Q2" s="6">
        <f>_xlfn.RANK.EQ(J2,$J$2:$J$18,0)</f>
        <v>12</v>
      </c>
      <c r="R2" s="6">
        <f>_xlfn.RANK.EQ(K2,$K$2:$K$18, 0)</f>
        <v>11</v>
      </c>
      <c r="S2" s="6">
        <f>_xlfn.RANK.EQ(O2,$O$2:$O$18, 0)</f>
        <v>3</v>
      </c>
      <c r="T2" s="6">
        <f>COUNTIFS(clean_fies!$A:$A, $D2,clean_fies!$C:$C, $B2)</f>
        <v>1</v>
      </c>
      <c r="U2" s="6">
        <f>COUNTIFS(clean_ows_table!$A:$A,$E2,clean_ows_table!$C:$C, $B2)</f>
        <v>1</v>
      </c>
      <c r="V2" s="23" t="str">
        <f>IF(AND(T2=1,U2=1), "OK", "CHECK")</f>
        <v>OK</v>
      </c>
    </row>
    <row r="3" spans="1:22" x14ac:dyDescent="0.2">
      <c r="A3">
        <f>region_lookup!A3</f>
        <v>2</v>
      </c>
      <c r="B3" t="str">
        <f>region_lookup!B3</f>
        <v>CAR</v>
      </c>
      <c r="C3" t="str">
        <f>region_lookup!C3</f>
        <v>Cordillera Administrative Region</v>
      </c>
      <c r="D3">
        <v>2023</v>
      </c>
      <c r="E3">
        <v>2024</v>
      </c>
      <c r="F3" s="6">
        <f>SUMIFS(clean_fies!$I:$I,clean_fies!$A:$A,$D3,clean_fies!$C:$C, $B3)</f>
        <v>464000</v>
      </c>
      <c r="G3" s="7">
        <f>SUMIFS(clean_fies!$M:$M, clean_fies!$A:$A, $D3,clean_fies!$C:$C, $B3)</f>
        <v>29916.666666666668</v>
      </c>
      <c r="H3" s="7">
        <f>SUMIFS(clean_fies!$N:$N,clean_fies!$A:$A, $D3, clean_fies!$C:$C, $B3)</f>
        <v>20666.666666666668</v>
      </c>
      <c r="I3" s="7">
        <f>SUMIFS(clean_fies!$O:$O, clean_fies!$A:$A, $D3, clean_fies!$C:$C, $B3)</f>
        <v>9250</v>
      </c>
      <c r="J3" s="8">
        <f t="shared" ref="J3:J18" si="0">IFERROR(I3/G3, " ")</f>
        <v>0.30919220055710306</v>
      </c>
      <c r="K3" s="5">
        <f t="shared" ref="K3:K18" si="1">IFERROR(G3/H3, " ")</f>
        <v>1.4475806451612903</v>
      </c>
      <c r="L3" s="7">
        <f>SUMIFS(clean_ows_table!$E:$E,clean_ows_table!$A:$A, $E3, clean_ows_table!$C:$C, $B3)</f>
        <v>16548.32</v>
      </c>
      <c r="M3" s="7">
        <f>SUMIFS(clean_ows_table!$F:$F,clean_ows_table!$A:$A, $E3, clean_ows_table!$C:$C, $B3)</f>
        <v>884.11</v>
      </c>
      <c r="N3" s="7">
        <f>SUMIFS(clean_ows_table!$G:$G,clean_ows_table!$A:$A, $E3, clean_ows_table!$C:$C, $B3)</f>
        <v>17432.43</v>
      </c>
      <c r="O3" s="5">
        <f t="shared" ref="O3:O18" si="2">IFERROR(N3/H3, " ")</f>
        <v>0.84350467741935475</v>
      </c>
      <c r="P3" s="7">
        <f t="shared" ref="P3:P18" si="3">IFERROR(N3-H3, " ")</f>
        <v>-3234.2366666666676</v>
      </c>
      <c r="Q3" s="6">
        <f t="shared" ref="Q3:Q18" si="4">_xlfn.RANK.EQ(J3,$J$2:$J$18,0)</f>
        <v>6</v>
      </c>
      <c r="R3" s="6">
        <f t="shared" ref="R3:R18" si="5">_xlfn.RANK.EQ(K3,$K$2:$K$18, 0)</f>
        <v>6</v>
      </c>
      <c r="S3" s="6">
        <f t="shared" ref="S3:S18" si="6">_xlfn.RANK.EQ(O3,$O$2:$O$18, 0)</f>
        <v>8</v>
      </c>
      <c r="T3" s="6">
        <f>COUNTIFS(clean_fies!$A:$A, $D3,clean_fies!$C:$C, $B3)</f>
        <v>1</v>
      </c>
      <c r="U3" s="6">
        <f>COUNTIFS(clean_ows_table!$A:$A,$E3,clean_ows_table!$C:$C, $B3)</f>
        <v>1</v>
      </c>
      <c r="V3" s="23" t="str">
        <f t="shared" ref="V3:V18" si="7">IF(AND(T3=1,U3=1), "OK", "CHECK")</f>
        <v>OK</v>
      </c>
    </row>
    <row r="4" spans="1:22" x14ac:dyDescent="0.2">
      <c r="A4">
        <f>region_lookup!A4</f>
        <v>3</v>
      </c>
      <c r="B4" t="str">
        <f>region_lookup!B4</f>
        <v>I</v>
      </c>
      <c r="C4" t="str">
        <f>region_lookup!C4</f>
        <v>Ilocos Region</v>
      </c>
      <c r="D4">
        <v>2023</v>
      </c>
      <c r="E4">
        <v>2024</v>
      </c>
      <c r="F4" s="6">
        <f>SUMIFS(clean_fies!$I:$I,clean_fies!$A:$A,$D4,clean_fies!$C:$C, $B4)</f>
        <v>1307000</v>
      </c>
      <c r="G4" s="7">
        <f>SUMIFS(clean_fies!$M:$M, clean_fies!$A:$A, $D4,clean_fies!$C:$C, $B4)</f>
        <v>28333.333333333332</v>
      </c>
      <c r="H4" s="7">
        <f>SUMIFS(clean_fies!$N:$N,clean_fies!$A:$A, $D4, clean_fies!$C:$C, $B4)</f>
        <v>19333.333333333332</v>
      </c>
      <c r="I4" s="7">
        <f>SUMIFS(clean_fies!$O:$O, clean_fies!$A:$A, $D4, clean_fies!$C:$C, $B4)</f>
        <v>8916.6666666666661</v>
      </c>
      <c r="J4" s="8">
        <f t="shared" si="0"/>
        <v>0.31470588235294117</v>
      </c>
      <c r="K4" s="5">
        <f t="shared" si="1"/>
        <v>1.4655172413793103</v>
      </c>
      <c r="L4" s="7">
        <f>SUMIFS(clean_ows_table!$E:$E,clean_ows_table!$A:$A, $E4, clean_ows_table!$C:$C, $B4)</f>
        <v>14247.54</v>
      </c>
      <c r="M4" s="7">
        <f>SUMIFS(clean_ows_table!$F:$F,clean_ows_table!$A:$A, $E4, clean_ows_table!$C:$C, $B4)</f>
        <v>531.96</v>
      </c>
      <c r="N4" s="7">
        <f>SUMIFS(clean_ows_table!$G:$G,clean_ows_table!$A:$A, $E4, clean_ows_table!$C:$C, $B4)</f>
        <v>14779.5</v>
      </c>
      <c r="O4" s="5">
        <f t="shared" si="2"/>
        <v>0.76445689655172422</v>
      </c>
      <c r="P4" s="7">
        <f t="shared" si="3"/>
        <v>-4553.8333333333321</v>
      </c>
      <c r="Q4" s="6">
        <f t="shared" si="4"/>
        <v>4</v>
      </c>
      <c r="R4" s="6">
        <f t="shared" si="5"/>
        <v>3</v>
      </c>
      <c r="S4" s="6">
        <f t="shared" si="6"/>
        <v>14</v>
      </c>
      <c r="T4" s="6">
        <f>COUNTIFS(clean_fies!$A:$A, $D4,clean_fies!$C:$C, $B4)</f>
        <v>1</v>
      </c>
      <c r="U4" s="6">
        <f>COUNTIFS(clean_ows_table!$A:$A,$E4,clean_ows_table!$C:$C, $B4)</f>
        <v>1</v>
      </c>
      <c r="V4" s="23" t="str">
        <f t="shared" si="7"/>
        <v>OK</v>
      </c>
    </row>
    <row r="5" spans="1:22" x14ac:dyDescent="0.2">
      <c r="A5">
        <f>region_lookup!A5</f>
        <v>4</v>
      </c>
      <c r="B5" t="str">
        <f>region_lookup!B5</f>
        <v>II</v>
      </c>
      <c r="C5" t="str">
        <f>region_lookup!C5</f>
        <v>Cagayan Valley</v>
      </c>
      <c r="D5">
        <v>2023</v>
      </c>
      <c r="E5">
        <v>2024</v>
      </c>
      <c r="F5" s="6">
        <f>SUMIFS(clean_fies!$I:$I,clean_fies!$A:$A,$D5,clean_fies!$C:$C, $B5)</f>
        <v>926000</v>
      </c>
      <c r="G5" s="7">
        <f>SUMIFS(clean_fies!$M:$M, clean_fies!$A:$A, $D5,clean_fies!$C:$C, $B5)</f>
        <v>25916.666666666668</v>
      </c>
      <c r="H5" s="7">
        <f>SUMIFS(clean_fies!$N:$N,clean_fies!$A:$A, $D5, clean_fies!$C:$C, $B5)</f>
        <v>17833.333333333332</v>
      </c>
      <c r="I5" s="7">
        <f>SUMIFS(clean_fies!$O:$O, clean_fies!$A:$A, $D5, clean_fies!$C:$C, $B5)</f>
        <v>8083.333333333333</v>
      </c>
      <c r="J5" s="8">
        <f t="shared" si="0"/>
        <v>0.31189710610932475</v>
      </c>
      <c r="K5" s="5">
        <f t="shared" si="1"/>
        <v>1.4532710280373833</v>
      </c>
      <c r="L5" s="7">
        <f>SUMIFS(clean_ows_table!$E:$E,clean_ows_table!$A:$A, $E5, clean_ows_table!$C:$C, $B5)</f>
        <v>14849.03</v>
      </c>
      <c r="M5" s="7">
        <f>SUMIFS(clean_ows_table!$F:$F,clean_ows_table!$A:$A, $E5, clean_ows_table!$C:$C, $B5)</f>
        <v>303.67</v>
      </c>
      <c r="N5" s="7">
        <f>SUMIFS(clean_ows_table!$G:$G,clean_ows_table!$A:$A, $E5, clean_ows_table!$C:$C, $B5)</f>
        <v>15152.7</v>
      </c>
      <c r="O5" s="5">
        <f t="shared" si="2"/>
        <v>0.84968411214953277</v>
      </c>
      <c r="P5" s="7">
        <f t="shared" si="3"/>
        <v>-2680.6333333333314</v>
      </c>
      <c r="Q5" s="6">
        <f t="shared" si="4"/>
        <v>5</v>
      </c>
      <c r="R5" s="6">
        <f t="shared" si="5"/>
        <v>5</v>
      </c>
      <c r="S5" s="6">
        <f t="shared" si="6"/>
        <v>7</v>
      </c>
      <c r="T5" s="6">
        <f>COUNTIFS(clean_fies!$A:$A, $D5,clean_fies!$C:$C, $B5)</f>
        <v>1</v>
      </c>
      <c r="U5" s="6">
        <f>COUNTIFS(clean_ows_table!$A:$A,$E5,clean_ows_table!$C:$C, $B5)</f>
        <v>1</v>
      </c>
      <c r="V5" s="23" t="str">
        <f t="shared" si="7"/>
        <v>OK</v>
      </c>
    </row>
    <row r="6" spans="1:22" x14ac:dyDescent="0.2">
      <c r="A6">
        <f>region_lookup!A6</f>
        <v>5</v>
      </c>
      <c r="B6" t="str">
        <f>region_lookup!B6</f>
        <v>III</v>
      </c>
      <c r="C6" t="str">
        <f>region_lookup!C6</f>
        <v>Central Luzon</v>
      </c>
      <c r="D6">
        <v>2023</v>
      </c>
      <c r="E6">
        <v>2024</v>
      </c>
      <c r="F6" s="6">
        <f>SUMIFS(clean_fies!$I:$I,clean_fies!$A:$A,$D6,clean_fies!$C:$C, $B6)</f>
        <v>3123000</v>
      </c>
      <c r="G6" s="7">
        <f>SUMIFS(clean_fies!$M:$M, clean_fies!$A:$A, $D6,clean_fies!$C:$C, $B6)</f>
        <v>31250</v>
      </c>
      <c r="H6" s="7">
        <f>SUMIFS(clean_fies!$N:$N,clean_fies!$A:$A, $D6, clean_fies!$C:$C, $B6)</f>
        <v>24916.666666666668</v>
      </c>
      <c r="I6" s="7">
        <f>SUMIFS(clean_fies!$O:$O, clean_fies!$A:$A, $D6, clean_fies!$C:$C, $B6)</f>
        <v>6416.666666666667</v>
      </c>
      <c r="J6" s="8">
        <f t="shared" si="0"/>
        <v>0.20533333333333334</v>
      </c>
      <c r="K6" s="5">
        <f t="shared" si="1"/>
        <v>1.2541806020066888</v>
      </c>
      <c r="L6" s="7">
        <f>SUMIFS(clean_ows_table!$E:$E,clean_ows_table!$A:$A, $E6, clean_ows_table!$C:$C, $B6)</f>
        <v>17372.5</v>
      </c>
      <c r="M6" s="7">
        <f>SUMIFS(clean_ows_table!$F:$F,clean_ows_table!$A:$A, $E6, clean_ows_table!$C:$C, $B6)</f>
        <v>901.85</v>
      </c>
      <c r="N6" s="7">
        <f>SUMIFS(clean_ows_table!$G:$G,clean_ows_table!$A:$A, $E6, clean_ows_table!$C:$C, $B6)</f>
        <v>18274.349999999999</v>
      </c>
      <c r="O6" s="5">
        <f t="shared" si="2"/>
        <v>0.73341872909698991</v>
      </c>
      <c r="P6" s="7">
        <f t="shared" si="3"/>
        <v>-6642.3166666666693</v>
      </c>
      <c r="Q6" s="6">
        <f t="shared" si="4"/>
        <v>16</v>
      </c>
      <c r="R6" s="6">
        <f t="shared" si="5"/>
        <v>16</v>
      </c>
      <c r="S6" s="6">
        <f t="shared" si="6"/>
        <v>16</v>
      </c>
      <c r="T6" s="6">
        <f>COUNTIFS(clean_fies!$A:$A, $D6,clean_fies!$C:$C, $B6)</f>
        <v>1</v>
      </c>
      <c r="U6" s="6">
        <f>COUNTIFS(clean_ows_table!$A:$A,$E6,clean_ows_table!$C:$C, $B6)</f>
        <v>1</v>
      </c>
      <c r="V6" s="23" t="str">
        <f t="shared" si="7"/>
        <v>OK</v>
      </c>
    </row>
    <row r="7" spans="1:22" x14ac:dyDescent="0.2">
      <c r="A7">
        <f>region_lookup!A7</f>
        <v>6</v>
      </c>
      <c r="B7" t="str">
        <f>region_lookup!B7</f>
        <v>IV-A</v>
      </c>
      <c r="C7" t="str">
        <f>region_lookup!C7</f>
        <v>CALABARZON</v>
      </c>
      <c r="D7">
        <v>2023</v>
      </c>
      <c r="E7">
        <v>2024</v>
      </c>
      <c r="F7" s="6">
        <f>SUMIFS(clean_fies!$I:$I,clean_fies!$A:$A,$D7,clean_fies!$C:$C, $B7)</f>
        <v>4304000</v>
      </c>
      <c r="G7" s="7">
        <f>SUMIFS(clean_fies!$M:$M, clean_fies!$A:$A, $D7,clean_fies!$C:$C, $B7)</f>
        <v>35583.333333333336</v>
      </c>
      <c r="H7" s="7">
        <f>SUMIFS(clean_fies!$N:$N,clean_fies!$A:$A, $D7, clean_fies!$C:$C, $B7)</f>
        <v>25833.333333333332</v>
      </c>
      <c r="I7" s="7">
        <f>SUMIFS(clean_fies!$O:$O, clean_fies!$A:$A, $D7, clean_fies!$C:$C, $B7)</f>
        <v>9666.6666666666661</v>
      </c>
      <c r="J7" s="8">
        <f t="shared" si="0"/>
        <v>0.27166276346604212</v>
      </c>
      <c r="K7" s="5">
        <f t="shared" si="1"/>
        <v>1.3774193548387099</v>
      </c>
      <c r="L7" s="7">
        <f>SUMIFS(clean_ows_table!$E:$E,clean_ows_table!$A:$A, $E7, clean_ows_table!$C:$C, $B7)</f>
        <v>18753.73</v>
      </c>
      <c r="M7" s="7">
        <f>SUMIFS(clean_ows_table!$F:$F,clean_ows_table!$A:$A, $E7, clean_ows_table!$C:$C, $B7)</f>
        <v>957.73</v>
      </c>
      <c r="N7" s="7">
        <f>SUMIFS(clean_ows_table!$G:$G,clean_ows_table!$A:$A, $E7, clean_ows_table!$C:$C, $B7)</f>
        <v>19711.46</v>
      </c>
      <c r="O7" s="5">
        <f t="shared" si="2"/>
        <v>0.76302425806451613</v>
      </c>
      <c r="P7" s="7">
        <f t="shared" si="3"/>
        <v>-6121.873333333333</v>
      </c>
      <c r="Q7" s="6">
        <f t="shared" si="4"/>
        <v>10</v>
      </c>
      <c r="R7" s="6">
        <f t="shared" si="5"/>
        <v>10</v>
      </c>
      <c r="S7" s="6">
        <f t="shared" si="6"/>
        <v>15</v>
      </c>
      <c r="T7" s="6">
        <f>COUNTIFS(clean_fies!$A:$A, $D7,clean_fies!$C:$C, $B7)</f>
        <v>1</v>
      </c>
      <c r="U7" s="6">
        <f>COUNTIFS(clean_ows_table!$A:$A,$E7,clean_ows_table!$C:$C, $B7)</f>
        <v>1</v>
      </c>
      <c r="V7" s="23" t="str">
        <f t="shared" si="7"/>
        <v>OK</v>
      </c>
    </row>
    <row r="8" spans="1:22" x14ac:dyDescent="0.2">
      <c r="A8">
        <f>region_lookup!A8</f>
        <v>7</v>
      </c>
      <c r="B8" t="str">
        <f>region_lookup!B8</f>
        <v>MIMAROPA</v>
      </c>
      <c r="C8" t="str">
        <f>region_lookup!C8</f>
        <v>MIMAROPA Region</v>
      </c>
      <c r="D8">
        <v>2023</v>
      </c>
      <c r="E8">
        <v>2024</v>
      </c>
      <c r="F8" s="6">
        <f>SUMIFS(clean_fies!$I:$I,clean_fies!$A:$A,$D8,clean_fies!$C:$C, $B8)</f>
        <v>819000</v>
      </c>
      <c r="G8" s="7">
        <f>SUMIFS(clean_fies!$M:$M, clean_fies!$A:$A, $D8,clean_fies!$C:$C, $B8)</f>
        <v>22250</v>
      </c>
      <c r="H8" s="7">
        <f>SUMIFS(clean_fies!$N:$N,clean_fies!$A:$A, $D8, clean_fies!$C:$C, $B8)</f>
        <v>15833.333333333334</v>
      </c>
      <c r="I8" s="7">
        <f>SUMIFS(clean_fies!$O:$O, clean_fies!$A:$A, $D8, clean_fies!$C:$C, $B8)</f>
        <v>6500</v>
      </c>
      <c r="J8" s="8">
        <f t="shared" si="0"/>
        <v>0.29213483146067415</v>
      </c>
      <c r="K8" s="5">
        <f t="shared" si="1"/>
        <v>1.4052631578947368</v>
      </c>
      <c r="L8" s="7">
        <f>SUMIFS(clean_ows_table!$E:$E,clean_ows_table!$A:$A, $E8, clean_ows_table!$C:$C, $B8)</f>
        <v>13418.2</v>
      </c>
      <c r="M8" s="7">
        <f>SUMIFS(clean_ows_table!$F:$F,clean_ows_table!$A:$A, $E8, clean_ows_table!$C:$C, $B8)</f>
        <v>819.85</v>
      </c>
      <c r="N8" s="7">
        <f>SUMIFS(clean_ows_table!$G:$G,clean_ows_table!$A:$A, $E8, clean_ows_table!$C:$C, $B8)</f>
        <v>14238.05</v>
      </c>
      <c r="O8" s="5">
        <f t="shared" si="2"/>
        <v>0.89924526315789466</v>
      </c>
      <c r="P8" s="7">
        <f t="shared" si="3"/>
        <v>-1595.2833333333347</v>
      </c>
      <c r="Q8" s="6">
        <f t="shared" si="4"/>
        <v>8</v>
      </c>
      <c r="R8" s="6">
        <f t="shared" si="5"/>
        <v>8</v>
      </c>
      <c r="S8" s="6">
        <f t="shared" si="6"/>
        <v>4</v>
      </c>
      <c r="T8" s="6">
        <f>COUNTIFS(clean_fies!$A:$A, $D8,clean_fies!$C:$C, $B8)</f>
        <v>1</v>
      </c>
      <c r="U8" s="6">
        <f>COUNTIFS(clean_ows_table!$A:$A,$E8,clean_ows_table!$C:$C, $B8)</f>
        <v>1</v>
      </c>
      <c r="V8" s="23" t="str">
        <f t="shared" si="7"/>
        <v>OK</v>
      </c>
    </row>
    <row r="9" spans="1:22" x14ac:dyDescent="0.2">
      <c r="A9">
        <f>region_lookup!A9</f>
        <v>8</v>
      </c>
      <c r="B9" t="str">
        <f>region_lookup!B9</f>
        <v>V</v>
      </c>
      <c r="C9" t="str">
        <f>region_lookup!C9</f>
        <v>Bicol Region</v>
      </c>
      <c r="D9">
        <v>2023</v>
      </c>
      <c r="E9">
        <v>2024</v>
      </c>
      <c r="F9" s="6">
        <f>SUMIFS(clean_fies!$I:$I,clean_fies!$A:$A,$D9,clean_fies!$C:$C, $B9)</f>
        <v>1374000</v>
      </c>
      <c r="G9" s="7">
        <f>SUMIFS(clean_fies!$M:$M, clean_fies!$A:$A, $D9,clean_fies!$C:$C, $B9)</f>
        <v>23916.666666666668</v>
      </c>
      <c r="H9" s="7">
        <f>SUMIFS(clean_fies!$N:$N,clean_fies!$A:$A, $D9, clean_fies!$C:$C, $B9)</f>
        <v>16916.666666666668</v>
      </c>
      <c r="I9" s="7">
        <f>SUMIFS(clean_fies!$O:$O, clean_fies!$A:$A, $D9, clean_fies!$C:$C, $B9)</f>
        <v>7083.333333333333</v>
      </c>
      <c r="J9" s="8">
        <f t="shared" si="0"/>
        <v>0.29616724738675954</v>
      </c>
      <c r="K9" s="5">
        <f t="shared" si="1"/>
        <v>1.4137931034482758</v>
      </c>
      <c r="L9" s="7">
        <f>SUMIFS(clean_ows_table!$E:$E,clean_ows_table!$A:$A, $E9, clean_ows_table!$C:$C, $B9)</f>
        <v>13045.03</v>
      </c>
      <c r="M9" s="7">
        <f>SUMIFS(clean_ows_table!$F:$F,clean_ows_table!$A:$A, $E9, clean_ows_table!$C:$C, $B9)</f>
        <v>706.41</v>
      </c>
      <c r="N9" s="7">
        <f>SUMIFS(clean_ows_table!$G:$G,clean_ows_table!$A:$A, $E9, clean_ows_table!$C:$C, $B9)</f>
        <v>13751.43</v>
      </c>
      <c r="O9" s="5">
        <f t="shared" si="2"/>
        <v>0.8128924137931034</v>
      </c>
      <c r="P9" s="7">
        <f t="shared" si="3"/>
        <v>-3165.2366666666676</v>
      </c>
      <c r="Q9" s="6">
        <f t="shared" si="4"/>
        <v>7</v>
      </c>
      <c r="R9" s="6">
        <f t="shared" si="5"/>
        <v>7</v>
      </c>
      <c r="S9" s="6">
        <f t="shared" si="6"/>
        <v>10</v>
      </c>
      <c r="T9" s="6">
        <f>COUNTIFS(clean_fies!$A:$A, $D9,clean_fies!$C:$C, $B9)</f>
        <v>1</v>
      </c>
      <c r="U9" s="6">
        <f>COUNTIFS(clean_ows_table!$A:$A,$E9,clean_ows_table!$C:$C, $B9)</f>
        <v>1</v>
      </c>
      <c r="V9" s="23" t="str">
        <f t="shared" si="7"/>
        <v>OK</v>
      </c>
    </row>
    <row r="10" spans="1:22" x14ac:dyDescent="0.2">
      <c r="A10">
        <f>region_lookup!A10</f>
        <v>9</v>
      </c>
      <c r="B10" t="str">
        <f>region_lookup!B10</f>
        <v>VI</v>
      </c>
      <c r="C10" t="str">
        <f>region_lookup!C10</f>
        <v>Western Visayas</v>
      </c>
      <c r="D10">
        <v>2023</v>
      </c>
      <c r="E10">
        <v>2024</v>
      </c>
      <c r="F10" s="6">
        <f>SUMIFS(clean_fies!$I:$I,clean_fies!$A:$A,$D10,clean_fies!$C:$C, $B10)</f>
        <v>2019000</v>
      </c>
      <c r="G10" s="7">
        <f>SUMIFS(clean_fies!$M:$M, clean_fies!$A:$A, $D10,clean_fies!$C:$C, $B10)</f>
        <v>24833.333333333332</v>
      </c>
      <c r="H10" s="7">
        <f>SUMIFS(clean_fies!$N:$N,clean_fies!$A:$A, $D10, clean_fies!$C:$C, $B10)</f>
        <v>18750</v>
      </c>
      <c r="I10" s="7">
        <f>SUMIFS(clean_fies!$O:$O, clean_fies!$A:$A, $D10, clean_fies!$C:$C, $B10)</f>
        <v>6083.333333333333</v>
      </c>
      <c r="J10" s="8">
        <f t="shared" si="0"/>
        <v>0.24496644295302014</v>
      </c>
      <c r="K10" s="5">
        <f t="shared" si="1"/>
        <v>1.3244444444444443</v>
      </c>
      <c r="L10" s="7">
        <f>SUMIFS(clean_ows_table!$E:$E,clean_ows_table!$A:$A, $E10, clean_ows_table!$C:$C, $B10)</f>
        <v>15326.45</v>
      </c>
      <c r="M10" s="7">
        <f>SUMIFS(clean_ows_table!$F:$F,clean_ows_table!$A:$A, $E10, clean_ows_table!$C:$C, $B10)</f>
        <v>777.47</v>
      </c>
      <c r="N10" s="7">
        <f>SUMIFS(clean_ows_table!$G:$G,clean_ows_table!$A:$A, $E10, clean_ows_table!$C:$C, $B10)</f>
        <v>16103.92</v>
      </c>
      <c r="O10" s="5">
        <f t="shared" si="2"/>
        <v>0.85887573333333334</v>
      </c>
      <c r="P10" s="7">
        <f t="shared" si="3"/>
        <v>-2646.08</v>
      </c>
      <c r="Q10" s="6">
        <f t="shared" si="4"/>
        <v>13</v>
      </c>
      <c r="R10" s="6">
        <f t="shared" si="5"/>
        <v>13</v>
      </c>
      <c r="S10" s="6">
        <f t="shared" si="6"/>
        <v>5</v>
      </c>
      <c r="T10" s="6">
        <f>COUNTIFS(clean_fies!$A:$A, $D10,clean_fies!$C:$C, $B10)</f>
        <v>1</v>
      </c>
      <c r="U10" s="6">
        <f>COUNTIFS(clean_ows_table!$A:$A,$E10,clean_ows_table!$C:$C, $B10)</f>
        <v>1</v>
      </c>
      <c r="V10" s="23" t="str">
        <f t="shared" si="7"/>
        <v>OK</v>
      </c>
    </row>
    <row r="11" spans="1:22" x14ac:dyDescent="0.2">
      <c r="A11">
        <f>region_lookup!A11</f>
        <v>10</v>
      </c>
      <c r="B11" t="str">
        <f>region_lookup!B11</f>
        <v>VII</v>
      </c>
      <c r="C11" t="str">
        <f>region_lookup!C11</f>
        <v>Central Visayas</v>
      </c>
      <c r="D11">
        <v>2023</v>
      </c>
      <c r="E11">
        <v>2024</v>
      </c>
      <c r="F11" s="6">
        <f>SUMIFS(clean_fies!$I:$I,clean_fies!$A:$A,$D11,clean_fies!$C:$C, $B11)</f>
        <v>2053000</v>
      </c>
      <c r="G11" s="7">
        <f>SUMIFS(clean_fies!$M:$M, clean_fies!$A:$A, $D11,clean_fies!$C:$C, $B11)</f>
        <v>26416.666666666668</v>
      </c>
      <c r="H11" s="7">
        <f>SUMIFS(clean_fies!$N:$N,clean_fies!$A:$A, $D11, clean_fies!$C:$C, $B11)</f>
        <v>17500</v>
      </c>
      <c r="I11" s="7">
        <f>SUMIFS(clean_fies!$O:$O, clean_fies!$A:$A, $D11, clean_fies!$C:$C, $B11)</f>
        <v>8916.6666666666661</v>
      </c>
      <c r="J11" s="8">
        <f t="shared" si="0"/>
        <v>0.33753943217665611</v>
      </c>
      <c r="K11" s="5">
        <f t="shared" si="1"/>
        <v>1.5095238095238095</v>
      </c>
      <c r="L11" s="7">
        <f>SUMIFS(clean_ows_table!$E:$E,clean_ows_table!$A:$A, $E11, clean_ows_table!$C:$C, $B11)</f>
        <v>18055.02</v>
      </c>
      <c r="M11" s="7">
        <f>SUMIFS(clean_ows_table!$F:$F,clean_ows_table!$A:$A, $E11, clean_ows_table!$C:$C, $B11)</f>
        <v>1028.52</v>
      </c>
      <c r="N11" s="7">
        <f>SUMIFS(clean_ows_table!$G:$G,clean_ows_table!$A:$A, $E11, clean_ows_table!$C:$C, $B11)</f>
        <v>19083.53</v>
      </c>
      <c r="O11" s="5">
        <f t="shared" si="2"/>
        <v>1.0904874285714286</v>
      </c>
      <c r="P11" s="7">
        <f t="shared" si="3"/>
        <v>1583.5299999999988</v>
      </c>
      <c r="Q11" s="6">
        <f t="shared" si="4"/>
        <v>2</v>
      </c>
      <c r="R11" s="6">
        <f t="shared" si="5"/>
        <v>2</v>
      </c>
      <c r="S11" s="6">
        <f t="shared" si="6"/>
        <v>1</v>
      </c>
      <c r="T11" s="6">
        <f>COUNTIFS(clean_fies!$A:$A, $D11,clean_fies!$C:$C, $B11)</f>
        <v>1</v>
      </c>
      <c r="U11" s="6">
        <f>COUNTIFS(clean_ows_table!$A:$A,$E11,clean_ows_table!$C:$C, $B11)</f>
        <v>1</v>
      </c>
      <c r="V11" s="23" t="str">
        <f t="shared" si="7"/>
        <v>OK</v>
      </c>
    </row>
    <row r="12" spans="1:22" x14ac:dyDescent="0.2">
      <c r="A12">
        <f>region_lookup!A12</f>
        <v>11</v>
      </c>
      <c r="B12" t="str">
        <f>region_lookup!B12</f>
        <v>VIII</v>
      </c>
      <c r="C12" t="str">
        <f>region_lookup!C12</f>
        <v>Eastern Visayas</v>
      </c>
      <c r="D12">
        <v>2023</v>
      </c>
      <c r="E12">
        <v>2024</v>
      </c>
      <c r="F12" s="6">
        <f>SUMIFS(clean_fies!$I:$I,clean_fies!$A:$A,$D12,clean_fies!$C:$C, $B12)</f>
        <v>1185000</v>
      </c>
      <c r="G12" s="7">
        <f>SUMIFS(clean_fies!$M:$M, clean_fies!$A:$A, $D12,clean_fies!$C:$C, $B12)</f>
        <v>22250</v>
      </c>
      <c r="H12" s="7">
        <f>SUMIFS(clean_fies!$N:$N,clean_fies!$A:$A, $D12, clean_fies!$C:$C, $B12)</f>
        <v>16666.666666666668</v>
      </c>
      <c r="I12" s="7">
        <f>SUMIFS(clean_fies!$O:$O, clean_fies!$A:$A, $D12, clean_fies!$C:$C, $B12)</f>
        <v>5583.333333333333</v>
      </c>
      <c r="J12" s="8">
        <f t="shared" si="0"/>
        <v>0.25093632958801498</v>
      </c>
      <c r="K12" s="5">
        <f t="shared" si="1"/>
        <v>1.335</v>
      </c>
      <c r="L12" s="7">
        <f>SUMIFS(clean_ows_table!$E:$E,clean_ows_table!$A:$A, $E12, clean_ows_table!$C:$C, $B12)</f>
        <v>12828.08</v>
      </c>
      <c r="M12" s="7">
        <f>SUMIFS(clean_ows_table!$F:$F,clean_ows_table!$A:$A, $E12, clean_ows_table!$C:$C, $B12)</f>
        <v>638.96</v>
      </c>
      <c r="N12" s="7">
        <f>SUMIFS(clean_ows_table!$G:$G,clean_ows_table!$A:$A, $E12, clean_ows_table!$C:$C, $B12)</f>
        <v>13467.05</v>
      </c>
      <c r="O12" s="5">
        <f t="shared" si="2"/>
        <v>0.80802299999999994</v>
      </c>
      <c r="P12" s="7">
        <f t="shared" si="3"/>
        <v>-3199.6166666666686</v>
      </c>
      <c r="Q12" s="6">
        <f t="shared" si="4"/>
        <v>11</v>
      </c>
      <c r="R12" s="6">
        <f t="shared" si="5"/>
        <v>12</v>
      </c>
      <c r="S12" s="6">
        <f t="shared" si="6"/>
        <v>11</v>
      </c>
      <c r="T12" s="6">
        <f>COUNTIFS(clean_fies!$A:$A, $D12,clean_fies!$C:$C, $B12)</f>
        <v>1</v>
      </c>
      <c r="U12" s="6">
        <f>COUNTIFS(clean_ows_table!$A:$A,$E12,clean_ows_table!$C:$C, $B12)</f>
        <v>1</v>
      </c>
      <c r="V12" s="23" t="str">
        <f t="shared" si="7"/>
        <v>OK</v>
      </c>
    </row>
    <row r="13" spans="1:22" x14ac:dyDescent="0.2">
      <c r="A13">
        <f>region_lookup!A13</f>
        <v>12</v>
      </c>
      <c r="B13" t="str">
        <f>region_lookup!B13</f>
        <v>IX</v>
      </c>
      <c r="C13" t="str">
        <f>region_lookup!C13</f>
        <v>Zamboanga Peninsula</v>
      </c>
      <c r="D13">
        <v>2023</v>
      </c>
      <c r="E13">
        <v>2024</v>
      </c>
      <c r="F13" s="6">
        <f>SUMIFS(clean_fies!$I:$I,clean_fies!$A:$A,$D13,clean_fies!$C:$C, $B13)</f>
        <v>897000</v>
      </c>
      <c r="G13" s="7">
        <f>SUMIFS(clean_fies!$M:$M, clean_fies!$A:$A, $D13,clean_fies!$C:$C, $B13)</f>
        <v>21416.666666666668</v>
      </c>
      <c r="H13" s="7">
        <f>SUMIFS(clean_fies!$N:$N,clean_fies!$A:$A, $D13, clean_fies!$C:$C, $B13)</f>
        <v>16750</v>
      </c>
      <c r="I13" s="7">
        <f>SUMIFS(clean_fies!$O:$O, clean_fies!$A:$A, $D13, clean_fies!$C:$C, $B13)</f>
        <v>4666.666666666667</v>
      </c>
      <c r="J13" s="8">
        <f t="shared" si="0"/>
        <v>0.21789883268482491</v>
      </c>
      <c r="K13" s="5">
        <f t="shared" si="1"/>
        <v>1.2786069651741294</v>
      </c>
      <c r="L13" s="7">
        <f>SUMIFS(clean_ows_table!$E:$E,clean_ows_table!$A:$A, $E13, clean_ows_table!$C:$C, $B13)</f>
        <v>11861.93</v>
      </c>
      <c r="M13" s="7">
        <f>SUMIFS(clean_ows_table!$F:$F,clean_ows_table!$A:$A, $E13, clean_ows_table!$C:$C, $B13)</f>
        <v>358.42</v>
      </c>
      <c r="N13" s="7">
        <f>SUMIFS(clean_ows_table!$G:$G,clean_ows_table!$A:$A, $E13, clean_ows_table!$C:$C, $B13)</f>
        <v>12220.35</v>
      </c>
      <c r="O13" s="5">
        <f t="shared" si="2"/>
        <v>0.72957313432835824</v>
      </c>
      <c r="P13" s="7">
        <f t="shared" si="3"/>
        <v>-4529.6499999999996</v>
      </c>
      <c r="Q13" s="6">
        <f t="shared" si="4"/>
        <v>15</v>
      </c>
      <c r="R13" s="6">
        <f t="shared" si="5"/>
        <v>15</v>
      </c>
      <c r="S13" s="6">
        <f t="shared" si="6"/>
        <v>17</v>
      </c>
      <c r="T13" s="6">
        <f>COUNTIFS(clean_fies!$A:$A, $D13,clean_fies!$C:$C, $B13)</f>
        <v>1</v>
      </c>
      <c r="U13" s="6">
        <f>COUNTIFS(clean_ows_table!$A:$A,$E13,clean_ows_table!$C:$C, $B13)</f>
        <v>1</v>
      </c>
      <c r="V13" s="23" t="str">
        <f t="shared" si="7"/>
        <v>OK</v>
      </c>
    </row>
    <row r="14" spans="1:22" x14ac:dyDescent="0.2">
      <c r="A14">
        <f>region_lookup!A14</f>
        <v>13</v>
      </c>
      <c r="B14" t="str">
        <f>region_lookup!B14</f>
        <v>X</v>
      </c>
      <c r="C14" t="str">
        <f>region_lookup!C14</f>
        <v>Northern Mindanao</v>
      </c>
      <c r="D14">
        <v>2023</v>
      </c>
      <c r="E14">
        <v>2024</v>
      </c>
      <c r="F14" s="6">
        <f>SUMIFS(clean_fies!$I:$I,clean_fies!$A:$A,$D14,clean_fies!$C:$C, $B14)</f>
        <v>1236000</v>
      </c>
      <c r="G14" s="7">
        <f>SUMIFS(clean_fies!$M:$M, clean_fies!$A:$A, $D14,clean_fies!$C:$C, $B14)</f>
        <v>24666.666666666668</v>
      </c>
      <c r="H14" s="7">
        <f>SUMIFS(clean_fies!$N:$N,clean_fies!$A:$A, $D14, clean_fies!$C:$C, $B14)</f>
        <v>16916.666666666668</v>
      </c>
      <c r="I14" s="7">
        <f>SUMIFS(clean_fies!$O:$O, clean_fies!$A:$A, $D14, clean_fies!$C:$C, $B14)</f>
        <v>7833.333333333333</v>
      </c>
      <c r="J14" s="8">
        <f t="shared" si="0"/>
        <v>0.31756756756756754</v>
      </c>
      <c r="K14" s="5">
        <f t="shared" si="1"/>
        <v>1.458128078817734</v>
      </c>
      <c r="L14" s="7">
        <f>SUMIFS(clean_ows_table!$E:$E,clean_ows_table!$A:$A, $E14, clean_ows_table!$C:$C, $B14)</f>
        <v>14072.33</v>
      </c>
      <c r="M14" s="7">
        <f>SUMIFS(clean_ows_table!$F:$F,clean_ows_table!$A:$A, $E14, clean_ows_table!$C:$C, $B14)</f>
        <v>446.63</v>
      </c>
      <c r="N14" s="7">
        <f>SUMIFS(clean_ows_table!$G:$G,clean_ows_table!$A:$A, $E14, clean_ows_table!$C:$C, $B14)</f>
        <v>14518.95</v>
      </c>
      <c r="O14" s="5">
        <f t="shared" si="2"/>
        <v>0.85826305418719206</v>
      </c>
      <c r="P14" s="7">
        <f t="shared" si="3"/>
        <v>-2397.7166666666672</v>
      </c>
      <c r="Q14" s="6">
        <f t="shared" si="4"/>
        <v>3</v>
      </c>
      <c r="R14" s="6">
        <f t="shared" si="5"/>
        <v>4</v>
      </c>
      <c r="S14" s="6">
        <f t="shared" si="6"/>
        <v>6</v>
      </c>
      <c r="T14" s="6">
        <f>COUNTIFS(clean_fies!$A:$A, $D14,clean_fies!$C:$C, $B14)</f>
        <v>1</v>
      </c>
      <c r="U14" s="6">
        <f>COUNTIFS(clean_ows_table!$A:$A,$E14,clean_ows_table!$C:$C, $B14)</f>
        <v>1</v>
      </c>
      <c r="V14" s="23" t="str">
        <f t="shared" si="7"/>
        <v>OK</v>
      </c>
    </row>
    <row r="15" spans="1:22" x14ac:dyDescent="0.2">
      <c r="A15">
        <f>region_lookup!A15</f>
        <v>14</v>
      </c>
      <c r="B15" t="str">
        <f>region_lookup!B15</f>
        <v>XI</v>
      </c>
      <c r="C15" t="str">
        <f>region_lookup!C15</f>
        <v>Davao Region</v>
      </c>
      <c r="D15">
        <v>2023</v>
      </c>
      <c r="E15">
        <v>2024</v>
      </c>
      <c r="F15" s="6">
        <f>SUMIFS(clean_fies!$I:$I,clean_fies!$A:$A,$D15,clean_fies!$C:$C, $B15)</f>
        <v>1469000</v>
      </c>
      <c r="G15" s="7">
        <f>SUMIFS(clean_fies!$M:$M, clean_fies!$A:$A, $D15,clean_fies!$C:$C, $B15)</f>
        <v>26583.333333333332</v>
      </c>
      <c r="H15" s="7">
        <f>SUMIFS(clean_fies!$N:$N,clean_fies!$A:$A, $D15, clean_fies!$C:$C, $B15)</f>
        <v>17000</v>
      </c>
      <c r="I15" s="7">
        <f>SUMIFS(clean_fies!$O:$O, clean_fies!$A:$A, $D15, clean_fies!$C:$C, $B15)</f>
        <v>9583.3333333333339</v>
      </c>
      <c r="J15" s="8">
        <f t="shared" si="0"/>
        <v>0.36050156739811917</v>
      </c>
      <c r="K15" s="5">
        <f t="shared" si="1"/>
        <v>1.5637254901960784</v>
      </c>
      <c r="L15" s="7">
        <f>SUMIFS(clean_ows_table!$E:$E,clean_ows_table!$A:$A, $E15, clean_ows_table!$C:$C, $B15)</f>
        <v>17162.98</v>
      </c>
      <c r="M15" s="7">
        <f>SUMIFS(clean_ows_table!$F:$F,clean_ows_table!$A:$A, $E15, clean_ows_table!$C:$C, $B15)</f>
        <v>789.83</v>
      </c>
      <c r="N15" s="7">
        <f>SUMIFS(clean_ows_table!$G:$G,clean_ows_table!$A:$A, $E15, clean_ows_table!$C:$C, $B15)</f>
        <v>17952.810000000001</v>
      </c>
      <c r="O15" s="5">
        <f t="shared" si="2"/>
        <v>1.0560476470588236</v>
      </c>
      <c r="P15" s="7">
        <f t="shared" si="3"/>
        <v>952.81000000000131</v>
      </c>
      <c r="Q15" s="6">
        <f t="shared" si="4"/>
        <v>1</v>
      </c>
      <c r="R15" s="6">
        <f t="shared" si="5"/>
        <v>1</v>
      </c>
      <c r="S15" s="6">
        <f t="shared" si="6"/>
        <v>2</v>
      </c>
      <c r="T15" s="6">
        <f>COUNTIFS(clean_fies!$A:$A, $D15,clean_fies!$C:$C, $B15)</f>
        <v>1</v>
      </c>
      <c r="U15" s="6">
        <f>COUNTIFS(clean_ows_table!$A:$A,$E15,clean_ows_table!$C:$C, $B15)</f>
        <v>1</v>
      </c>
      <c r="V15" s="23" t="str">
        <f t="shared" si="7"/>
        <v>OK</v>
      </c>
    </row>
    <row r="16" spans="1:22" x14ac:dyDescent="0.2">
      <c r="A16">
        <f>region_lookup!A16</f>
        <v>15</v>
      </c>
      <c r="B16" t="str">
        <f>region_lookup!B16</f>
        <v>XII</v>
      </c>
      <c r="C16" t="str">
        <f>region_lookup!C16</f>
        <v>SOCCSKSARGEN</v>
      </c>
      <c r="D16">
        <v>2023</v>
      </c>
      <c r="E16">
        <v>2024</v>
      </c>
      <c r="F16" s="6">
        <f>SUMIFS(clean_fies!$I:$I,clean_fies!$A:$A,$D16,clean_fies!$C:$C, $B16)</f>
        <v>1138000</v>
      </c>
      <c r="G16" s="7">
        <f>SUMIFS(clean_fies!$M:$M, clean_fies!$A:$A, $D16,clean_fies!$C:$C, $B16)</f>
        <v>23500</v>
      </c>
      <c r="H16" s="7">
        <f>SUMIFS(clean_fies!$N:$N,clean_fies!$A:$A, $D16, clean_fies!$C:$C, $B16)</f>
        <v>16833.333333333332</v>
      </c>
      <c r="I16" s="7">
        <f>SUMIFS(clean_fies!$O:$O, clean_fies!$A:$A, $D16, clean_fies!$C:$C, $B16)</f>
        <v>6666.666666666667</v>
      </c>
      <c r="J16" s="8">
        <f t="shared" si="0"/>
        <v>0.28368794326241137</v>
      </c>
      <c r="K16" s="5">
        <f t="shared" si="1"/>
        <v>1.3960396039603962</v>
      </c>
      <c r="L16" s="7">
        <f>SUMIFS(clean_ows_table!$E:$E,clean_ows_table!$A:$A, $E16, clean_ows_table!$C:$C, $B16)</f>
        <v>12621.73</v>
      </c>
      <c r="M16" s="7">
        <f>SUMIFS(clean_ows_table!$F:$F,clean_ows_table!$A:$A, $E16, clean_ows_table!$C:$C, $B16)</f>
        <v>516.29</v>
      </c>
      <c r="N16" s="7">
        <f>SUMIFS(clean_ows_table!$G:$G,clean_ows_table!$A:$A, $E16, clean_ows_table!$C:$C, $B16)</f>
        <v>13138.02</v>
      </c>
      <c r="O16" s="5">
        <f t="shared" si="2"/>
        <v>0.78047643564356439</v>
      </c>
      <c r="P16" s="7">
        <f t="shared" si="3"/>
        <v>-3695.3133333333317</v>
      </c>
      <c r="Q16" s="6">
        <f t="shared" si="4"/>
        <v>9</v>
      </c>
      <c r="R16" s="6">
        <f t="shared" si="5"/>
        <v>9</v>
      </c>
      <c r="S16" s="6">
        <f t="shared" si="6"/>
        <v>13</v>
      </c>
      <c r="T16" s="6">
        <f>COUNTIFS(clean_fies!$A:$A, $D16,clean_fies!$C:$C, $B16)</f>
        <v>1</v>
      </c>
      <c r="U16" s="6">
        <f>COUNTIFS(clean_ows_table!$A:$A,$E16,clean_ows_table!$C:$C, $B16)</f>
        <v>1</v>
      </c>
      <c r="V16" s="23" t="str">
        <f t="shared" si="7"/>
        <v>OK</v>
      </c>
    </row>
    <row r="17" spans="1:22" x14ac:dyDescent="0.2">
      <c r="A17">
        <f>region_lookup!A17</f>
        <v>16</v>
      </c>
      <c r="B17" t="str">
        <f>region_lookup!B17</f>
        <v>XIII</v>
      </c>
      <c r="C17" t="str">
        <f>region_lookup!C17</f>
        <v>Caraga</v>
      </c>
      <c r="D17">
        <v>2023</v>
      </c>
      <c r="E17">
        <v>2024</v>
      </c>
      <c r="F17" s="6">
        <f>SUMIFS(clean_fies!$I:$I,clean_fies!$A:$A,$D17,clean_fies!$C:$C, $B17)</f>
        <v>694000</v>
      </c>
      <c r="G17" s="7">
        <f>SUMIFS(clean_fies!$M:$M, clean_fies!$A:$A, $D17,clean_fies!$C:$C, $B17)</f>
        <v>23083.333333333332</v>
      </c>
      <c r="H17" s="7">
        <f>SUMIFS(clean_fies!$N:$N,clean_fies!$A:$A, $D17, clean_fies!$C:$C, $B17)</f>
        <v>17750</v>
      </c>
      <c r="I17" s="7">
        <f>SUMIFS(clean_fies!$O:$O, clean_fies!$A:$A, $D17, clean_fies!$C:$C, $B17)</f>
        <v>5250</v>
      </c>
      <c r="J17" s="8">
        <f t="shared" si="0"/>
        <v>0.22743682310469315</v>
      </c>
      <c r="K17" s="5">
        <f t="shared" si="1"/>
        <v>1.300469483568075</v>
      </c>
      <c r="L17" s="7">
        <f>SUMIFS(clean_ows_table!$E:$E,clean_ows_table!$A:$A, $E17, clean_ows_table!$C:$C, $B17)</f>
        <v>13459.43</v>
      </c>
      <c r="M17" s="7">
        <f>SUMIFS(clean_ows_table!$F:$F,clean_ows_table!$A:$A, $E17, clean_ows_table!$C:$C, $B17)</f>
        <v>759.84</v>
      </c>
      <c r="N17" s="7">
        <f>SUMIFS(clean_ows_table!$G:$G,clean_ows_table!$A:$A, $E17, clean_ows_table!$C:$C, $B17)</f>
        <v>14219.27</v>
      </c>
      <c r="O17" s="5">
        <f t="shared" si="2"/>
        <v>0.80108563380281694</v>
      </c>
      <c r="P17" s="7">
        <f t="shared" si="3"/>
        <v>-3530.7299999999996</v>
      </c>
      <c r="Q17" s="6">
        <f t="shared" si="4"/>
        <v>14</v>
      </c>
      <c r="R17" s="6">
        <f t="shared" si="5"/>
        <v>14</v>
      </c>
      <c r="S17" s="6">
        <f t="shared" si="6"/>
        <v>12</v>
      </c>
      <c r="T17" s="6">
        <f>COUNTIFS(clean_fies!$A:$A, $D17,clean_fies!$C:$C, $B17)</f>
        <v>1</v>
      </c>
      <c r="U17" s="6">
        <f>COUNTIFS(clean_ows_table!$A:$A,$E17,clean_ows_table!$C:$C, $B17)</f>
        <v>1</v>
      </c>
      <c r="V17" s="23" t="str">
        <f t="shared" si="7"/>
        <v>OK</v>
      </c>
    </row>
    <row r="18" spans="1:22" x14ac:dyDescent="0.2">
      <c r="A18">
        <f>region_lookup!A18</f>
        <v>17</v>
      </c>
      <c r="B18" t="str">
        <f>region_lookup!B18</f>
        <v>BARMM</v>
      </c>
      <c r="C18" t="str">
        <f>region_lookup!C18</f>
        <v>Bangsamoro Autonomous Region in Muslim Mindanao</v>
      </c>
      <c r="D18">
        <v>2023</v>
      </c>
      <c r="E18">
        <v>2024</v>
      </c>
      <c r="F18" s="6">
        <f>SUMIFS(clean_fies!$I:$I,clean_fies!$A:$A,$D18,clean_fies!$C:$C, $B18)</f>
        <v>837000</v>
      </c>
      <c r="G18" s="7">
        <f>SUMIFS(clean_fies!$M:$M, clean_fies!$A:$A, $D18,clean_fies!$C:$C, $B18)</f>
        <v>17250</v>
      </c>
      <c r="H18" s="7">
        <f>SUMIFS(clean_fies!$N:$N,clean_fies!$A:$A, $D18, clean_fies!$C:$C, $B18)</f>
        <v>14083.333333333334</v>
      </c>
      <c r="I18" s="7">
        <f>SUMIFS(clean_fies!$O:$O, clean_fies!$A:$A, $D18, clean_fies!$C:$C, $B18)</f>
        <v>3166.6666666666665</v>
      </c>
      <c r="J18" s="8">
        <f t="shared" si="0"/>
        <v>0.18357487922705312</v>
      </c>
      <c r="K18" s="5">
        <f t="shared" si="1"/>
        <v>1.2248520710059172</v>
      </c>
      <c r="L18" s="7">
        <f>SUMIFS(clean_ows_table!$E:$E,clean_ows_table!$A:$A, $E18, clean_ows_table!$C:$C, $B18)</f>
        <v>11168.63</v>
      </c>
      <c r="M18" s="7">
        <f>SUMIFS(clean_ows_table!$F:$F,clean_ows_table!$A:$A, $E18, clean_ows_table!$C:$C, $B18)</f>
        <v>326.33</v>
      </c>
      <c r="N18" s="7">
        <f>SUMIFS(clean_ows_table!$G:$G,clean_ows_table!$A:$A, $E18, clean_ows_table!$C:$C, $B18)</f>
        <v>11494.96</v>
      </c>
      <c r="O18" s="5">
        <f t="shared" si="2"/>
        <v>0.81621017751479286</v>
      </c>
      <c r="P18" s="7">
        <f t="shared" si="3"/>
        <v>-2588.3733333333348</v>
      </c>
      <c r="Q18" s="6">
        <f t="shared" si="4"/>
        <v>17</v>
      </c>
      <c r="R18" s="6">
        <f t="shared" si="5"/>
        <v>17</v>
      </c>
      <c r="S18" s="6">
        <f t="shared" si="6"/>
        <v>9</v>
      </c>
      <c r="T18" s="6">
        <f>COUNTIFS(clean_fies!$A:$A, $D18,clean_fies!$C:$C, $B18)</f>
        <v>1</v>
      </c>
      <c r="U18" s="6">
        <f>COUNTIFS(clean_ows_table!$A:$A,$E18,clean_ows_table!$C:$C, $B18)</f>
        <v>1</v>
      </c>
      <c r="V18" s="23" t="str">
        <f t="shared" si="7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75FB-D508-2D40-8E35-D1BB93169A5B}">
  <dimension ref="A1:V18"/>
  <sheetViews>
    <sheetView topLeftCell="K1" workbookViewId="0">
      <selection activeCell="O26" sqref="O26"/>
    </sheetView>
  </sheetViews>
  <sheetFormatPr baseColWidth="10" defaultRowHeight="16" x14ac:dyDescent="0.2"/>
  <cols>
    <col min="1" max="1" width="12" customWidth="1"/>
    <col min="2" max="2" width="13.5" customWidth="1"/>
    <col min="3" max="3" width="14.1640625" customWidth="1"/>
    <col min="4" max="4" width="11" customWidth="1"/>
    <col min="5" max="5" width="11.1640625" customWidth="1"/>
    <col min="6" max="6" width="20" style="5" customWidth="1"/>
    <col min="7" max="7" width="30.6640625" style="5" customWidth="1"/>
    <col min="8" max="8" width="34.1640625" style="5" customWidth="1"/>
    <col min="9" max="9" width="30.83203125" style="5" customWidth="1"/>
    <col min="10" max="10" width="14" style="24" customWidth="1"/>
    <col min="11" max="11" width="27.33203125" style="5" customWidth="1"/>
    <col min="12" max="12" width="26.6640625" style="5" customWidth="1"/>
    <col min="13" max="13" width="26.83203125" style="5" customWidth="1"/>
    <col min="14" max="14" width="27" style="5" customWidth="1"/>
    <col min="15" max="15" width="36.6640625" style="24" customWidth="1"/>
    <col min="16" max="16" width="39.33203125" style="5" customWidth="1"/>
    <col min="17" max="17" width="18.5" style="6" customWidth="1"/>
    <col min="18" max="18" width="24.6640625" style="6" customWidth="1"/>
    <col min="19" max="19" width="28" style="6" customWidth="1"/>
    <col min="20" max="20" width="18.33203125" style="6" customWidth="1"/>
    <col min="21" max="21" width="18.5" style="6" customWidth="1"/>
    <col min="22" max="22" width="15" style="23" customWidth="1"/>
  </cols>
  <sheetData>
    <row r="1" spans="1:22" x14ac:dyDescent="0.2">
      <c r="A1" t="s">
        <v>83</v>
      </c>
      <c r="B1" t="s">
        <v>28</v>
      </c>
      <c r="C1" t="s">
        <v>29</v>
      </c>
      <c r="D1" t="s">
        <v>113</v>
      </c>
      <c r="E1" t="s">
        <v>114</v>
      </c>
      <c r="F1" s="5" t="s">
        <v>34</v>
      </c>
      <c r="G1" s="5" t="s">
        <v>115</v>
      </c>
      <c r="H1" s="5" t="s">
        <v>116</v>
      </c>
      <c r="I1" s="5" t="s">
        <v>117</v>
      </c>
      <c r="J1" s="24" t="s">
        <v>41</v>
      </c>
      <c r="K1" s="5" t="s">
        <v>42</v>
      </c>
      <c r="L1" s="5" t="s">
        <v>79</v>
      </c>
      <c r="M1" s="5" t="s">
        <v>80</v>
      </c>
      <c r="N1" s="5" t="s">
        <v>81</v>
      </c>
      <c r="O1" s="24" t="s">
        <v>118</v>
      </c>
      <c r="P1" s="5" t="s">
        <v>119</v>
      </c>
      <c r="Q1" s="6" t="s">
        <v>120</v>
      </c>
      <c r="R1" s="6" t="s">
        <v>121</v>
      </c>
      <c r="S1" s="6" t="s">
        <v>122</v>
      </c>
      <c r="T1" s="6" t="s">
        <v>123</v>
      </c>
      <c r="U1" s="6" t="s">
        <v>124</v>
      </c>
      <c r="V1" s="23" t="s">
        <v>125</v>
      </c>
    </row>
    <row r="2" spans="1:22" x14ac:dyDescent="0.2">
      <c r="A2">
        <v>1</v>
      </c>
      <c r="B2" t="s">
        <v>8</v>
      </c>
      <c r="C2" t="s">
        <v>51</v>
      </c>
      <c r="D2">
        <v>2023</v>
      </c>
      <c r="E2">
        <v>2024</v>
      </c>
      <c r="F2" s="5">
        <v>3633000</v>
      </c>
      <c r="G2" s="5">
        <v>42833.333333333336</v>
      </c>
      <c r="H2" s="5">
        <v>32083.333333333332</v>
      </c>
      <c r="I2" s="5">
        <v>10666.666666666666</v>
      </c>
      <c r="J2" s="24">
        <v>0.24902723735408558</v>
      </c>
      <c r="K2" s="5">
        <v>1.3350649350649353</v>
      </c>
      <c r="L2" s="5">
        <v>27318.1</v>
      </c>
      <c r="M2" s="5">
        <v>1991.68</v>
      </c>
      <c r="N2" s="5">
        <v>29309.78</v>
      </c>
      <c r="O2" s="24">
        <v>0.91355158441558437</v>
      </c>
      <c r="P2" s="5">
        <v>-2773.5533333333333</v>
      </c>
      <c r="Q2" s="6">
        <v>12</v>
      </c>
      <c r="R2" s="6">
        <v>11</v>
      </c>
      <c r="S2" s="6">
        <v>3</v>
      </c>
      <c r="T2" s="6">
        <v>1</v>
      </c>
      <c r="U2" s="6">
        <v>1</v>
      </c>
      <c r="V2" s="23" t="s">
        <v>126</v>
      </c>
    </row>
    <row r="3" spans="1:22" x14ac:dyDescent="0.2">
      <c r="A3">
        <v>2</v>
      </c>
      <c r="B3" t="s">
        <v>9</v>
      </c>
      <c r="C3" t="s">
        <v>52</v>
      </c>
      <c r="D3">
        <v>2023</v>
      </c>
      <c r="E3">
        <v>2024</v>
      </c>
      <c r="F3" s="5">
        <v>464000</v>
      </c>
      <c r="G3" s="5">
        <v>29916.666666666668</v>
      </c>
      <c r="H3" s="5">
        <v>20666.666666666668</v>
      </c>
      <c r="I3" s="5">
        <v>9250</v>
      </c>
      <c r="J3" s="24">
        <v>0.30919220055710306</v>
      </c>
      <c r="K3" s="5">
        <v>1.4475806451612903</v>
      </c>
      <c r="L3" s="5">
        <v>16548.32</v>
      </c>
      <c r="M3" s="5">
        <v>884.11</v>
      </c>
      <c r="N3" s="5">
        <v>17432.43</v>
      </c>
      <c r="O3" s="24">
        <v>0.84350467741935475</v>
      </c>
      <c r="P3" s="5">
        <v>-3234.2366666666676</v>
      </c>
      <c r="Q3" s="6">
        <v>6</v>
      </c>
      <c r="R3" s="6">
        <v>6</v>
      </c>
      <c r="S3" s="6">
        <v>8</v>
      </c>
      <c r="T3" s="6">
        <v>1</v>
      </c>
      <c r="U3" s="6">
        <v>1</v>
      </c>
      <c r="V3" s="23" t="s">
        <v>126</v>
      </c>
    </row>
    <row r="4" spans="1:22" x14ac:dyDescent="0.2">
      <c r="A4">
        <v>3</v>
      </c>
      <c r="B4" t="s">
        <v>87</v>
      </c>
      <c r="C4" t="s">
        <v>88</v>
      </c>
      <c r="D4">
        <v>2023</v>
      </c>
      <c r="E4">
        <v>2024</v>
      </c>
      <c r="F4" s="5">
        <v>1307000</v>
      </c>
      <c r="G4" s="5">
        <v>28333.333333333332</v>
      </c>
      <c r="H4" s="5">
        <v>19333.333333333332</v>
      </c>
      <c r="I4" s="5">
        <v>8916.6666666666661</v>
      </c>
      <c r="J4" s="24">
        <v>0.31470588235294117</v>
      </c>
      <c r="K4" s="5">
        <v>1.4655172413793103</v>
      </c>
      <c r="L4" s="5">
        <v>14247.54</v>
      </c>
      <c r="M4" s="5">
        <v>531.96</v>
      </c>
      <c r="N4" s="5">
        <v>14779.5</v>
      </c>
      <c r="O4" s="24">
        <v>0.76445689655172422</v>
      </c>
      <c r="P4" s="5">
        <v>-4553.8333333333321</v>
      </c>
      <c r="Q4" s="6">
        <v>4</v>
      </c>
      <c r="R4" s="6">
        <v>3</v>
      </c>
      <c r="S4" s="6">
        <v>14</v>
      </c>
      <c r="T4" s="6">
        <v>1</v>
      </c>
      <c r="U4" s="6">
        <v>1</v>
      </c>
      <c r="V4" s="23" t="s">
        <v>126</v>
      </c>
    </row>
    <row r="5" spans="1:22" x14ac:dyDescent="0.2">
      <c r="A5">
        <v>4</v>
      </c>
      <c r="B5" t="s">
        <v>89</v>
      </c>
      <c r="C5" t="s">
        <v>90</v>
      </c>
      <c r="D5">
        <v>2023</v>
      </c>
      <c r="E5">
        <v>2024</v>
      </c>
      <c r="F5" s="5">
        <v>926000</v>
      </c>
      <c r="G5" s="5">
        <v>25916.666666666668</v>
      </c>
      <c r="H5" s="5">
        <v>17833.333333333332</v>
      </c>
      <c r="I5" s="5">
        <v>8083.333333333333</v>
      </c>
      <c r="J5" s="24">
        <v>0.31189710610932475</v>
      </c>
      <c r="K5" s="5">
        <v>1.4532710280373833</v>
      </c>
      <c r="L5" s="5">
        <v>14849.03</v>
      </c>
      <c r="M5" s="5">
        <v>303.67</v>
      </c>
      <c r="N5" s="5">
        <v>15152.7</v>
      </c>
      <c r="O5" s="24">
        <v>0.84968411214953277</v>
      </c>
      <c r="P5" s="5">
        <v>-2680.6333333333314</v>
      </c>
      <c r="Q5" s="6">
        <v>5</v>
      </c>
      <c r="R5" s="6">
        <v>5</v>
      </c>
      <c r="S5" s="6">
        <v>7</v>
      </c>
      <c r="T5" s="6">
        <v>1</v>
      </c>
      <c r="U5" s="6">
        <v>1</v>
      </c>
      <c r="V5" s="23" t="s">
        <v>126</v>
      </c>
    </row>
    <row r="6" spans="1:22" x14ac:dyDescent="0.2">
      <c r="A6">
        <v>5</v>
      </c>
      <c r="B6" t="s">
        <v>91</v>
      </c>
      <c r="C6" t="s">
        <v>92</v>
      </c>
      <c r="D6">
        <v>2023</v>
      </c>
      <c r="E6">
        <v>2024</v>
      </c>
      <c r="F6" s="5">
        <v>3123000</v>
      </c>
      <c r="G6" s="5">
        <v>31250</v>
      </c>
      <c r="H6" s="5">
        <v>24916.666666666668</v>
      </c>
      <c r="I6" s="5">
        <v>6416.666666666667</v>
      </c>
      <c r="J6" s="24">
        <v>0.20533333333333334</v>
      </c>
      <c r="K6" s="5">
        <v>1.2541806020066888</v>
      </c>
      <c r="L6" s="5">
        <v>17372.5</v>
      </c>
      <c r="M6" s="5">
        <v>901.85</v>
      </c>
      <c r="N6" s="5">
        <v>18274.349999999999</v>
      </c>
      <c r="O6" s="24">
        <v>0.73341872909698991</v>
      </c>
      <c r="P6" s="5">
        <v>-6642.3166666666693</v>
      </c>
      <c r="Q6" s="6">
        <v>16</v>
      </c>
      <c r="R6" s="6">
        <v>16</v>
      </c>
      <c r="S6" s="6">
        <v>16</v>
      </c>
      <c r="T6" s="6">
        <v>1</v>
      </c>
      <c r="U6" s="6">
        <v>1</v>
      </c>
      <c r="V6" s="23" t="s">
        <v>126</v>
      </c>
    </row>
    <row r="7" spans="1:22" x14ac:dyDescent="0.2">
      <c r="A7">
        <v>6</v>
      </c>
      <c r="B7" t="s">
        <v>93</v>
      </c>
      <c r="C7" t="s">
        <v>94</v>
      </c>
      <c r="D7">
        <v>2023</v>
      </c>
      <c r="E7">
        <v>2024</v>
      </c>
      <c r="F7" s="5">
        <v>4304000</v>
      </c>
      <c r="G7" s="5">
        <v>35583.333333333336</v>
      </c>
      <c r="H7" s="5">
        <v>25833.333333333332</v>
      </c>
      <c r="I7" s="5">
        <v>9666.6666666666661</v>
      </c>
      <c r="J7" s="24">
        <v>0.27166276346604212</v>
      </c>
      <c r="K7" s="5">
        <v>1.3774193548387099</v>
      </c>
      <c r="L7" s="5">
        <v>18753.73</v>
      </c>
      <c r="M7" s="5">
        <v>957.73</v>
      </c>
      <c r="N7" s="5">
        <v>19711.46</v>
      </c>
      <c r="O7" s="24">
        <v>0.76302425806451613</v>
      </c>
      <c r="P7" s="5">
        <v>-6121.873333333333</v>
      </c>
      <c r="Q7" s="6">
        <v>10</v>
      </c>
      <c r="R7" s="6">
        <v>10</v>
      </c>
      <c r="S7" s="6">
        <v>15</v>
      </c>
      <c r="T7" s="6">
        <v>1</v>
      </c>
      <c r="U7" s="6">
        <v>1</v>
      </c>
      <c r="V7" s="23" t="s">
        <v>126</v>
      </c>
    </row>
    <row r="8" spans="1:22" x14ac:dyDescent="0.2">
      <c r="A8">
        <v>7</v>
      </c>
      <c r="B8" t="s">
        <v>14</v>
      </c>
      <c r="C8" t="s">
        <v>57</v>
      </c>
      <c r="D8">
        <v>2023</v>
      </c>
      <c r="E8">
        <v>2024</v>
      </c>
      <c r="F8" s="5">
        <v>819000</v>
      </c>
      <c r="G8" s="5">
        <v>22250</v>
      </c>
      <c r="H8" s="5">
        <v>15833.333333333334</v>
      </c>
      <c r="I8" s="5">
        <v>6500</v>
      </c>
      <c r="J8" s="24">
        <v>0.29213483146067415</v>
      </c>
      <c r="K8" s="5">
        <v>1.4052631578947368</v>
      </c>
      <c r="L8" s="5">
        <v>13418.2</v>
      </c>
      <c r="M8" s="5">
        <v>819.85</v>
      </c>
      <c r="N8" s="5">
        <v>14238.05</v>
      </c>
      <c r="O8" s="24">
        <v>0.89924526315789466</v>
      </c>
      <c r="P8" s="5">
        <v>-1595.2833333333347</v>
      </c>
      <c r="Q8" s="6">
        <v>8</v>
      </c>
      <c r="R8" s="6">
        <v>8</v>
      </c>
      <c r="S8" s="6">
        <v>4</v>
      </c>
      <c r="T8" s="6">
        <v>1</v>
      </c>
      <c r="U8" s="6">
        <v>1</v>
      </c>
      <c r="V8" s="23" t="s">
        <v>126</v>
      </c>
    </row>
    <row r="9" spans="1:22" x14ac:dyDescent="0.2">
      <c r="A9">
        <v>8</v>
      </c>
      <c r="B9" t="s">
        <v>95</v>
      </c>
      <c r="C9" t="s">
        <v>96</v>
      </c>
      <c r="D9">
        <v>2023</v>
      </c>
      <c r="E9">
        <v>2024</v>
      </c>
      <c r="F9" s="5">
        <v>1374000</v>
      </c>
      <c r="G9" s="5">
        <v>23916.666666666668</v>
      </c>
      <c r="H9" s="5">
        <v>16916.666666666668</v>
      </c>
      <c r="I9" s="5">
        <v>7083.333333333333</v>
      </c>
      <c r="J9" s="24">
        <v>0.29616724738675954</v>
      </c>
      <c r="K9" s="5">
        <v>1.4137931034482758</v>
      </c>
      <c r="L9" s="5">
        <v>13045.03</v>
      </c>
      <c r="M9" s="5">
        <v>706.41</v>
      </c>
      <c r="N9" s="5">
        <v>13751.43</v>
      </c>
      <c r="O9" s="24">
        <v>0.8128924137931034</v>
      </c>
      <c r="P9" s="5">
        <v>-3165.2366666666676</v>
      </c>
      <c r="Q9" s="6">
        <v>7</v>
      </c>
      <c r="R9" s="6">
        <v>7</v>
      </c>
      <c r="S9" s="6">
        <v>10</v>
      </c>
      <c r="T9" s="6">
        <v>1</v>
      </c>
      <c r="U9" s="6">
        <v>1</v>
      </c>
      <c r="V9" s="23" t="s">
        <v>126</v>
      </c>
    </row>
    <row r="10" spans="1:22" x14ac:dyDescent="0.2">
      <c r="A10">
        <v>9</v>
      </c>
      <c r="B10" t="s">
        <v>97</v>
      </c>
      <c r="C10" t="s">
        <v>98</v>
      </c>
      <c r="D10">
        <v>2023</v>
      </c>
      <c r="E10">
        <v>2024</v>
      </c>
      <c r="F10" s="5">
        <v>2019000</v>
      </c>
      <c r="G10" s="5">
        <v>24833.333333333332</v>
      </c>
      <c r="H10" s="5">
        <v>18750</v>
      </c>
      <c r="I10" s="5">
        <v>6083.333333333333</v>
      </c>
      <c r="J10" s="24">
        <v>0.24496644295302014</v>
      </c>
      <c r="K10" s="5">
        <v>1.3244444444444443</v>
      </c>
      <c r="L10" s="5">
        <v>15326.45</v>
      </c>
      <c r="M10" s="5">
        <v>777.47</v>
      </c>
      <c r="N10" s="5">
        <v>16103.92</v>
      </c>
      <c r="O10" s="24">
        <v>0.85887573333333334</v>
      </c>
      <c r="P10" s="5">
        <v>-2646.08</v>
      </c>
      <c r="Q10" s="6">
        <v>13</v>
      </c>
      <c r="R10" s="6">
        <v>13</v>
      </c>
      <c r="S10" s="6">
        <v>5</v>
      </c>
      <c r="T10" s="6">
        <v>1</v>
      </c>
      <c r="U10" s="6">
        <v>1</v>
      </c>
      <c r="V10" s="23" t="s">
        <v>126</v>
      </c>
    </row>
    <row r="11" spans="1:22" x14ac:dyDescent="0.2">
      <c r="A11">
        <v>10</v>
      </c>
      <c r="B11" t="s">
        <v>99</v>
      </c>
      <c r="C11" t="s">
        <v>100</v>
      </c>
      <c r="D11">
        <v>2023</v>
      </c>
      <c r="E11">
        <v>2024</v>
      </c>
      <c r="F11" s="5">
        <v>2053000</v>
      </c>
      <c r="G11" s="5">
        <v>26416.666666666668</v>
      </c>
      <c r="H11" s="5">
        <v>17500</v>
      </c>
      <c r="I11" s="5">
        <v>8916.6666666666661</v>
      </c>
      <c r="J11" s="24">
        <v>0.33753943217665611</v>
      </c>
      <c r="K11" s="5">
        <v>1.5095238095238095</v>
      </c>
      <c r="L11" s="5">
        <v>18055.02</v>
      </c>
      <c r="M11" s="5">
        <v>1028.52</v>
      </c>
      <c r="N11" s="5">
        <v>19083.53</v>
      </c>
      <c r="O11" s="24">
        <v>1.0904874285714286</v>
      </c>
      <c r="P11" s="5">
        <v>1583.5299999999988</v>
      </c>
      <c r="Q11" s="6">
        <v>2</v>
      </c>
      <c r="R11" s="6">
        <v>2</v>
      </c>
      <c r="S11" s="6">
        <v>1</v>
      </c>
      <c r="T11" s="6">
        <v>1</v>
      </c>
      <c r="U11" s="6">
        <v>1</v>
      </c>
      <c r="V11" s="23" t="s">
        <v>126</v>
      </c>
    </row>
    <row r="12" spans="1:22" x14ac:dyDescent="0.2">
      <c r="A12">
        <v>11</v>
      </c>
      <c r="B12" t="s">
        <v>101</v>
      </c>
      <c r="C12" t="s">
        <v>102</v>
      </c>
      <c r="D12">
        <v>2023</v>
      </c>
      <c r="E12">
        <v>2024</v>
      </c>
      <c r="F12" s="5">
        <v>1185000</v>
      </c>
      <c r="G12" s="5">
        <v>22250</v>
      </c>
      <c r="H12" s="5">
        <v>16666.666666666668</v>
      </c>
      <c r="I12" s="5">
        <v>5583.333333333333</v>
      </c>
      <c r="J12" s="24">
        <v>0.25093632958801498</v>
      </c>
      <c r="K12" s="5">
        <v>1.335</v>
      </c>
      <c r="L12" s="5">
        <v>12828.08</v>
      </c>
      <c r="M12" s="5">
        <v>638.96</v>
      </c>
      <c r="N12" s="5">
        <v>13467.05</v>
      </c>
      <c r="O12" s="24">
        <v>0.80802299999999994</v>
      </c>
      <c r="P12" s="5">
        <v>-3199.6166666666686</v>
      </c>
      <c r="Q12" s="6">
        <v>11</v>
      </c>
      <c r="R12" s="6">
        <v>12</v>
      </c>
      <c r="S12" s="6">
        <v>11</v>
      </c>
      <c r="T12" s="6">
        <v>1</v>
      </c>
      <c r="U12" s="6">
        <v>1</v>
      </c>
      <c r="V12" s="23" t="s">
        <v>126</v>
      </c>
    </row>
    <row r="13" spans="1:22" x14ac:dyDescent="0.2">
      <c r="A13">
        <v>12</v>
      </c>
      <c r="B13" t="s">
        <v>103</v>
      </c>
      <c r="C13" t="s">
        <v>104</v>
      </c>
      <c r="D13">
        <v>2023</v>
      </c>
      <c r="E13">
        <v>2024</v>
      </c>
      <c r="F13" s="5">
        <v>897000</v>
      </c>
      <c r="G13" s="5">
        <v>21416.666666666668</v>
      </c>
      <c r="H13" s="5">
        <v>16750</v>
      </c>
      <c r="I13" s="5">
        <v>4666.666666666667</v>
      </c>
      <c r="J13" s="24">
        <v>0.21789883268482491</v>
      </c>
      <c r="K13" s="5">
        <v>1.2786069651741294</v>
      </c>
      <c r="L13" s="5">
        <v>11861.93</v>
      </c>
      <c r="M13" s="5">
        <v>358.42</v>
      </c>
      <c r="N13" s="5">
        <v>12220.35</v>
      </c>
      <c r="O13" s="24">
        <v>0.72957313432835824</v>
      </c>
      <c r="P13" s="5">
        <v>-4529.6499999999996</v>
      </c>
      <c r="Q13" s="6">
        <v>15</v>
      </c>
      <c r="R13" s="6">
        <v>15</v>
      </c>
      <c r="S13" s="6">
        <v>17</v>
      </c>
      <c r="T13" s="6">
        <v>1</v>
      </c>
      <c r="U13" s="6">
        <v>1</v>
      </c>
      <c r="V13" s="23" t="s">
        <v>126</v>
      </c>
    </row>
    <row r="14" spans="1:22" x14ac:dyDescent="0.2">
      <c r="A14">
        <v>13</v>
      </c>
      <c r="B14" t="s">
        <v>105</v>
      </c>
      <c r="C14" t="s">
        <v>106</v>
      </c>
      <c r="D14">
        <v>2023</v>
      </c>
      <c r="E14">
        <v>2024</v>
      </c>
      <c r="F14" s="5">
        <v>1236000</v>
      </c>
      <c r="G14" s="5">
        <v>24666.666666666668</v>
      </c>
      <c r="H14" s="5">
        <v>16916.666666666668</v>
      </c>
      <c r="I14" s="5">
        <v>7833.333333333333</v>
      </c>
      <c r="J14" s="24">
        <v>0.31756756756756754</v>
      </c>
      <c r="K14" s="5">
        <v>1.458128078817734</v>
      </c>
      <c r="L14" s="5">
        <v>14072.33</v>
      </c>
      <c r="M14" s="5">
        <v>446.63</v>
      </c>
      <c r="N14" s="5">
        <v>14518.95</v>
      </c>
      <c r="O14" s="24">
        <v>0.85826305418719206</v>
      </c>
      <c r="P14" s="5">
        <v>-2397.7166666666672</v>
      </c>
      <c r="Q14" s="6">
        <v>3</v>
      </c>
      <c r="R14" s="6">
        <v>4</v>
      </c>
      <c r="S14" s="6">
        <v>6</v>
      </c>
      <c r="T14" s="6">
        <v>1</v>
      </c>
      <c r="U14" s="6">
        <v>1</v>
      </c>
      <c r="V14" s="23" t="s">
        <v>126</v>
      </c>
    </row>
    <row r="15" spans="1:22" x14ac:dyDescent="0.2">
      <c r="A15">
        <v>14</v>
      </c>
      <c r="B15" t="s">
        <v>107</v>
      </c>
      <c r="C15" t="s">
        <v>108</v>
      </c>
      <c r="D15">
        <v>2023</v>
      </c>
      <c r="E15">
        <v>2024</v>
      </c>
      <c r="F15" s="5">
        <v>1469000</v>
      </c>
      <c r="G15" s="5">
        <v>26583.333333333332</v>
      </c>
      <c r="H15" s="5">
        <v>17000</v>
      </c>
      <c r="I15" s="5">
        <v>9583.3333333333339</v>
      </c>
      <c r="J15" s="24">
        <v>0.36050156739811917</v>
      </c>
      <c r="K15" s="5">
        <v>1.5637254901960784</v>
      </c>
      <c r="L15" s="5">
        <v>17162.98</v>
      </c>
      <c r="M15" s="5">
        <v>789.83</v>
      </c>
      <c r="N15" s="5">
        <v>17952.810000000001</v>
      </c>
      <c r="O15" s="24">
        <v>1.0560476470588236</v>
      </c>
      <c r="P15" s="5">
        <v>952.81000000000131</v>
      </c>
      <c r="Q15" s="6">
        <v>1</v>
      </c>
      <c r="R15" s="6">
        <v>1</v>
      </c>
      <c r="S15" s="6">
        <v>2</v>
      </c>
      <c r="T15" s="6">
        <v>1</v>
      </c>
      <c r="U15" s="6">
        <v>1</v>
      </c>
      <c r="V15" s="23" t="s">
        <v>126</v>
      </c>
    </row>
    <row r="16" spans="1:22" x14ac:dyDescent="0.2">
      <c r="A16">
        <v>15</v>
      </c>
      <c r="B16" t="s">
        <v>109</v>
      </c>
      <c r="C16" t="s">
        <v>110</v>
      </c>
      <c r="D16">
        <v>2023</v>
      </c>
      <c r="E16">
        <v>2024</v>
      </c>
      <c r="F16" s="5">
        <v>1138000</v>
      </c>
      <c r="G16" s="5">
        <v>23500</v>
      </c>
      <c r="H16" s="5">
        <v>16833.333333333332</v>
      </c>
      <c r="I16" s="5">
        <v>6666.666666666667</v>
      </c>
      <c r="J16" s="24">
        <v>0.28368794326241137</v>
      </c>
      <c r="K16" s="5">
        <v>1.3960396039603962</v>
      </c>
      <c r="L16" s="5">
        <v>12621.73</v>
      </c>
      <c r="M16" s="5">
        <v>516.29</v>
      </c>
      <c r="N16" s="5">
        <v>13138.02</v>
      </c>
      <c r="O16" s="24">
        <v>0.78047643564356439</v>
      </c>
      <c r="P16" s="5">
        <v>-3695.3133333333317</v>
      </c>
      <c r="Q16" s="6">
        <v>9</v>
      </c>
      <c r="R16" s="6">
        <v>9</v>
      </c>
      <c r="S16" s="6">
        <v>13</v>
      </c>
      <c r="T16" s="6">
        <v>1</v>
      </c>
      <c r="U16" s="6">
        <v>1</v>
      </c>
      <c r="V16" s="23" t="s">
        <v>126</v>
      </c>
    </row>
    <row r="17" spans="1:22" x14ac:dyDescent="0.2">
      <c r="A17">
        <v>16</v>
      </c>
      <c r="B17" t="s">
        <v>111</v>
      </c>
      <c r="C17" t="s">
        <v>112</v>
      </c>
      <c r="D17">
        <v>2023</v>
      </c>
      <c r="E17">
        <v>2024</v>
      </c>
      <c r="F17" s="5">
        <v>694000</v>
      </c>
      <c r="G17" s="5">
        <v>23083.333333333332</v>
      </c>
      <c r="H17" s="5">
        <v>17750</v>
      </c>
      <c r="I17" s="5">
        <v>5250</v>
      </c>
      <c r="J17" s="24">
        <v>0.22743682310469315</v>
      </c>
      <c r="K17" s="5">
        <v>1.300469483568075</v>
      </c>
      <c r="L17" s="5">
        <v>13459.43</v>
      </c>
      <c r="M17" s="5">
        <v>759.84</v>
      </c>
      <c r="N17" s="5">
        <v>14219.27</v>
      </c>
      <c r="O17" s="24">
        <v>0.80108563380281694</v>
      </c>
      <c r="P17" s="5">
        <v>-3530.7299999999996</v>
      </c>
      <c r="Q17" s="6">
        <v>14</v>
      </c>
      <c r="R17" s="6">
        <v>14</v>
      </c>
      <c r="S17" s="6">
        <v>12</v>
      </c>
      <c r="T17" s="6">
        <v>1</v>
      </c>
      <c r="U17" s="6">
        <v>1</v>
      </c>
      <c r="V17" s="23" t="s">
        <v>126</v>
      </c>
    </row>
    <row r="18" spans="1:22" x14ac:dyDescent="0.2">
      <c r="A18">
        <v>17</v>
      </c>
      <c r="B18" t="s">
        <v>24</v>
      </c>
      <c r="C18" t="s">
        <v>67</v>
      </c>
      <c r="D18">
        <v>2023</v>
      </c>
      <c r="E18">
        <v>2024</v>
      </c>
      <c r="F18" s="5">
        <v>837000</v>
      </c>
      <c r="G18" s="5">
        <v>17250</v>
      </c>
      <c r="H18" s="5">
        <v>14083.333333333334</v>
      </c>
      <c r="I18" s="5">
        <v>3166.6666666666665</v>
      </c>
      <c r="J18" s="24">
        <v>0.18357487922705312</v>
      </c>
      <c r="K18" s="5">
        <v>1.2248520710059172</v>
      </c>
      <c r="L18" s="5">
        <v>11168.63</v>
      </c>
      <c r="M18" s="5">
        <v>326.33</v>
      </c>
      <c r="N18" s="5">
        <v>11494.96</v>
      </c>
      <c r="O18" s="24">
        <v>0.81621017751479286</v>
      </c>
      <c r="P18" s="5">
        <v>-2588.3733333333348</v>
      </c>
      <c r="Q18" s="6">
        <v>17</v>
      </c>
      <c r="R18" s="6">
        <v>17</v>
      </c>
      <c r="S18" s="6">
        <v>9</v>
      </c>
      <c r="T18" s="6">
        <v>1</v>
      </c>
      <c r="U18" s="6">
        <v>1</v>
      </c>
      <c r="V18" s="23" t="s">
        <v>126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B366-B7FA-8F4F-9FD2-189355400D3B}">
  <dimension ref="A1:P18"/>
  <sheetViews>
    <sheetView workbookViewId="0">
      <selection activeCell="P7" sqref="P7"/>
    </sheetView>
  </sheetViews>
  <sheetFormatPr baseColWidth="10" defaultRowHeight="16" x14ac:dyDescent="0.2"/>
  <cols>
    <col min="1" max="1" width="44.6640625" bestFit="1" customWidth="1"/>
    <col min="2" max="2" width="11.33203125" style="30" bestFit="1" customWidth="1"/>
    <col min="4" max="4" width="44.6640625" bestFit="1" customWidth="1"/>
    <col min="5" max="5" width="14" bestFit="1" customWidth="1"/>
    <col min="6" max="6" width="17.83203125" bestFit="1" customWidth="1"/>
    <col min="8" max="8" width="44.6640625" bestFit="1" customWidth="1"/>
    <col min="9" max="9" width="23.33203125" bestFit="1" customWidth="1"/>
    <col min="11" max="11" width="12" bestFit="1" customWidth="1"/>
    <col min="12" max="12" width="14" bestFit="1" customWidth="1"/>
    <col min="13" max="13" width="17.83203125" bestFit="1" customWidth="1"/>
    <col min="14" max="14" width="14" bestFit="1" customWidth="1"/>
    <col min="15" max="15" width="11.33203125" bestFit="1" customWidth="1"/>
    <col min="16" max="16" width="16.83203125" bestFit="1" customWidth="1"/>
  </cols>
  <sheetData>
    <row r="1" spans="1:16" x14ac:dyDescent="0.2">
      <c r="A1" t="s">
        <v>132</v>
      </c>
      <c r="B1" s="30" t="s">
        <v>133</v>
      </c>
      <c r="D1" t="s">
        <v>2</v>
      </c>
      <c r="E1" t="s">
        <v>134</v>
      </c>
      <c r="F1" t="s">
        <v>135</v>
      </c>
      <c r="H1" t="s">
        <v>2</v>
      </c>
      <c r="I1" t="s">
        <v>136</v>
      </c>
      <c r="K1" t="s">
        <v>138</v>
      </c>
      <c r="L1" t="s">
        <v>134</v>
      </c>
      <c r="M1" t="s">
        <v>135</v>
      </c>
      <c r="N1" t="s">
        <v>139</v>
      </c>
    </row>
    <row r="2" spans="1:16" x14ac:dyDescent="0.2">
      <c r="A2" s="27" t="s">
        <v>108</v>
      </c>
      <c r="B2" s="31">
        <v>0.36050156739811917</v>
      </c>
      <c r="D2" s="26" t="s">
        <v>51</v>
      </c>
      <c r="E2" s="33">
        <v>42833.333333333336</v>
      </c>
      <c r="F2" s="33">
        <v>32083.333333333332</v>
      </c>
      <c r="H2" s="27" t="s">
        <v>100</v>
      </c>
      <c r="I2" s="29">
        <v>1.0904874285714286</v>
      </c>
      <c r="K2" s="35" t="s">
        <v>8</v>
      </c>
      <c r="L2" s="35">
        <v>42833.33</v>
      </c>
      <c r="M2" s="35">
        <v>32083.33</v>
      </c>
      <c r="N2" s="35">
        <v>10666.67</v>
      </c>
      <c r="O2" s="35"/>
      <c r="P2" s="35"/>
    </row>
    <row r="3" spans="1:16" x14ac:dyDescent="0.2">
      <c r="A3" s="27" t="s">
        <v>100</v>
      </c>
      <c r="B3" s="31">
        <v>0.33753943217665611</v>
      </c>
      <c r="D3" s="27" t="s">
        <v>94</v>
      </c>
      <c r="E3" s="34">
        <v>35583.333333333336</v>
      </c>
      <c r="F3" s="34">
        <v>25833.333333333332</v>
      </c>
      <c r="H3" s="27" t="s">
        <v>108</v>
      </c>
      <c r="I3" s="29">
        <v>1.0560476470588236</v>
      </c>
      <c r="K3" s="35" t="s">
        <v>140</v>
      </c>
      <c r="L3" s="35">
        <v>25447.919999999998</v>
      </c>
      <c r="M3" s="35">
        <v>18348.96</v>
      </c>
      <c r="N3" s="35">
        <v>7104.17</v>
      </c>
      <c r="O3" s="35"/>
      <c r="P3" s="35"/>
    </row>
    <row r="4" spans="1:16" x14ac:dyDescent="0.2">
      <c r="A4" s="26" t="s">
        <v>106</v>
      </c>
      <c r="B4" s="32">
        <v>0.31756756756756754</v>
      </c>
      <c r="D4" s="26" t="s">
        <v>92</v>
      </c>
      <c r="E4" s="33">
        <v>31250</v>
      </c>
      <c r="F4" s="33">
        <v>24916.666666666668</v>
      </c>
      <c r="H4" s="26" t="s">
        <v>51</v>
      </c>
      <c r="I4" s="28">
        <v>0.91355158441558437</v>
      </c>
    </row>
    <row r="5" spans="1:16" x14ac:dyDescent="0.2">
      <c r="A5" s="26" t="s">
        <v>88</v>
      </c>
      <c r="B5" s="32">
        <v>0.31470588235294117</v>
      </c>
      <c r="D5" s="27" t="s">
        <v>52</v>
      </c>
      <c r="E5" s="34">
        <v>29916.666666666668</v>
      </c>
      <c r="F5" s="34">
        <v>20666.666666666668</v>
      </c>
      <c r="H5" s="26" t="s">
        <v>57</v>
      </c>
      <c r="I5" s="28">
        <v>0.89924526315789466</v>
      </c>
    </row>
    <row r="6" spans="1:16" x14ac:dyDescent="0.2">
      <c r="A6" s="27" t="s">
        <v>90</v>
      </c>
      <c r="B6" s="31">
        <v>0.31189710610932475</v>
      </c>
      <c r="D6" s="26" t="s">
        <v>88</v>
      </c>
      <c r="E6" s="33">
        <v>28333.333333333332</v>
      </c>
      <c r="F6" s="33">
        <v>19333.333333333332</v>
      </c>
      <c r="H6" s="26" t="s">
        <v>98</v>
      </c>
      <c r="I6" s="28">
        <v>0.85887573333333334</v>
      </c>
    </row>
    <row r="7" spans="1:16" x14ac:dyDescent="0.2">
      <c r="A7" s="27" t="s">
        <v>52</v>
      </c>
      <c r="B7" s="31">
        <v>0.30919220055710306</v>
      </c>
      <c r="D7" s="27" t="s">
        <v>108</v>
      </c>
      <c r="E7" s="34">
        <v>26583.333333333332</v>
      </c>
      <c r="F7" s="34">
        <v>17000</v>
      </c>
      <c r="H7" s="26" t="s">
        <v>106</v>
      </c>
      <c r="I7" s="28">
        <v>0.85826305418719206</v>
      </c>
    </row>
    <row r="8" spans="1:16" x14ac:dyDescent="0.2">
      <c r="A8" s="27" t="s">
        <v>96</v>
      </c>
      <c r="B8" s="31">
        <v>0.29616724738675954</v>
      </c>
      <c r="D8" s="27" t="s">
        <v>100</v>
      </c>
      <c r="E8" s="34">
        <v>26416.666666666668</v>
      </c>
      <c r="F8" s="34">
        <v>17500</v>
      </c>
      <c r="H8" s="27" t="s">
        <v>90</v>
      </c>
      <c r="I8" s="29">
        <v>0.84968411214953277</v>
      </c>
    </row>
    <row r="9" spans="1:16" x14ac:dyDescent="0.2">
      <c r="A9" s="26" t="s">
        <v>57</v>
      </c>
      <c r="B9" s="32">
        <v>0.29213483146067415</v>
      </c>
      <c r="D9" s="27" t="s">
        <v>90</v>
      </c>
      <c r="E9" s="34">
        <v>25916.666666666668</v>
      </c>
      <c r="F9" s="34">
        <v>17833.333333333332</v>
      </c>
      <c r="H9" s="27" t="s">
        <v>52</v>
      </c>
      <c r="I9" s="29">
        <v>0.84350467741935475</v>
      </c>
    </row>
    <row r="10" spans="1:16" x14ac:dyDescent="0.2">
      <c r="A10" s="26" t="s">
        <v>110</v>
      </c>
      <c r="B10" s="32">
        <v>0.28368794326241137</v>
      </c>
      <c r="D10" s="26" t="s">
        <v>98</v>
      </c>
      <c r="E10" s="33">
        <v>24833.333333333332</v>
      </c>
      <c r="F10" s="33">
        <v>18750</v>
      </c>
      <c r="H10" s="26" t="s">
        <v>67</v>
      </c>
      <c r="I10" s="28">
        <v>0.81621017751479286</v>
      </c>
    </row>
    <row r="11" spans="1:16" x14ac:dyDescent="0.2">
      <c r="A11" s="27" t="s">
        <v>94</v>
      </c>
      <c r="B11" s="31">
        <v>0.27166276346604212</v>
      </c>
      <c r="D11" s="26" t="s">
        <v>106</v>
      </c>
      <c r="E11" s="33">
        <v>24666.666666666668</v>
      </c>
      <c r="F11" s="33">
        <v>16916.666666666668</v>
      </c>
      <c r="H11" s="27" t="s">
        <v>96</v>
      </c>
      <c r="I11" s="29">
        <v>0.8128924137931034</v>
      </c>
    </row>
    <row r="12" spans="1:16" x14ac:dyDescent="0.2">
      <c r="A12" s="26" t="s">
        <v>102</v>
      </c>
      <c r="B12" s="32">
        <v>0.25093632958801498</v>
      </c>
      <c r="D12" s="27" t="s">
        <v>96</v>
      </c>
      <c r="E12" s="34">
        <v>23916.666666666668</v>
      </c>
      <c r="F12" s="34">
        <v>16916.666666666668</v>
      </c>
      <c r="H12" s="26" t="s">
        <v>102</v>
      </c>
      <c r="I12" s="28">
        <v>0.80802299999999994</v>
      </c>
    </row>
    <row r="13" spans="1:16" x14ac:dyDescent="0.2">
      <c r="A13" s="26" t="s">
        <v>51</v>
      </c>
      <c r="B13" s="32">
        <v>0.24902723735408558</v>
      </c>
      <c r="D13" s="26" t="s">
        <v>110</v>
      </c>
      <c r="E13" s="33">
        <v>23500</v>
      </c>
      <c r="F13" s="33">
        <v>16833.333333333332</v>
      </c>
      <c r="H13" s="27" t="s">
        <v>112</v>
      </c>
      <c r="I13" s="29">
        <v>0.80108563380281694</v>
      </c>
    </row>
    <row r="14" spans="1:16" x14ac:dyDescent="0.2">
      <c r="A14" s="26" t="s">
        <v>98</v>
      </c>
      <c r="B14" s="32">
        <v>0.24496644295302014</v>
      </c>
      <c r="D14" s="27" t="s">
        <v>112</v>
      </c>
      <c r="E14" s="34">
        <v>23083.333333333332</v>
      </c>
      <c r="F14" s="34">
        <v>17750</v>
      </c>
      <c r="H14" s="26" t="s">
        <v>110</v>
      </c>
      <c r="I14" s="28">
        <v>0.78047643564356439</v>
      </c>
    </row>
    <row r="15" spans="1:16" x14ac:dyDescent="0.2">
      <c r="A15" s="27" t="s">
        <v>112</v>
      </c>
      <c r="B15" s="31">
        <v>0.22743682310469315</v>
      </c>
      <c r="D15" s="26" t="s">
        <v>57</v>
      </c>
      <c r="E15" s="33">
        <v>22250</v>
      </c>
      <c r="F15" s="33">
        <v>15833.333333333334</v>
      </c>
      <c r="H15" s="26" t="s">
        <v>88</v>
      </c>
      <c r="I15" s="28">
        <v>0.76445689655172422</v>
      </c>
    </row>
    <row r="16" spans="1:16" x14ac:dyDescent="0.2">
      <c r="A16" s="27" t="s">
        <v>104</v>
      </c>
      <c r="B16" s="31">
        <v>0.21789883268482491</v>
      </c>
      <c r="D16" s="26" t="s">
        <v>102</v>
      </c>
      <c r="E16" s="33">
        <v>22250</v>
      </c>
      <c r="F16" s="33">
        <v>16666.666666666668</v>
      </c>
      <c r="H16" s="27" t="s">
        <v>94</v>
      </c>
      <c r="I16" s="29">
        <v>0.76302425806451613</v>
      </c>
    </row>
    <row r="17" spans="1:9" x14ac:dyDescent="0.2">
      <c r="A17" s="26" t="s">
        <v>92</v>
      </c>
      <c r="B17" s="32">
        <v>0.20533333333333334</v>
      </c>
      <c r="D17" s="27" t="s">
        <v>104</v>
      </c>
      <c r="E17" s="34">
        <v>21416.666666666668</v>
      </c>
      <c r="F17" s="34">
        <v>16750</v>
      </c>
      <c r="H17" s="26" t="s">
        <v>92</v>
      </c>
      <c r="I17" s="28">
        <v>0.73341872909698991</v>
      </c>
    </row>
    <row r="18" spans="1:9" x14ac:dyDescent="0.2">
      <c r="A18" s="26" t="s">
        <v>67</v>
      </c>
      <c r="B18" s="32">
        <v>0.18357487922705312</v>
      </c>
      <c r="D18" s="26" t="s">
        <v>67</v>
      </c>
      <c r="E18" s="33">
        <v>17250</v>
      </c>
      <c r="F18" s="33">
        <v>14083.333333333334</v>
      </c>
      <c r="H18" s="27" t="s">
        <v>104</v>
      </c>
      <c r="I18" s="29">
        <v>0.72957313432835824</v>
      </c>
    </row>
  </sheetData>
  <sortState xmlns:xlrd2="http://schemas.microsoft.com/office/spreadsheetml/2017/richdata2" ref="H2:I19">
    <sortCondition descending="1" ref="I2:I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C457-0849-4740-9ECD-6ACC10735FEA}">
  <dimension ref="A1:N44"/>
  <sheetViews>
    <sheetView showGridLines="0" showRowColHeaders="0" tabSelected="1" topLeftCell="A10" workbookViewId="0">
      <selection activeCell="E46" sqref="E46"/>
    </sheetView>
  </sheetViews>
  <sheetFormatPr baseColWidth="10" defaultRowHeight="16" x14ac:dyDescent="0.2"/>
  <sheetData>
    <row r="1" spans="1:14" ht="64" customHeight="1" x14ac:dyDescent="0.2">
      <c r="A1" s="41" t="s">
        <v>127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3" spans="1:14" x14ac:dyDescent="0.2">
      <c r="A3" s="42" t="s">
        <v>128</v>
      </c>
      <c r="B3" s="43"/>
      <c r="C3" s="43"/>
      <c r="D3" s="44" t="s">
        <v>129</v>
      </c>
      <c r="E3" s="45"/>
      <c r="F3" s="45"/>
      <c r="G3" s="46" t="s">
        <v>130</v>
      </c>
      <c r="H3" s="47"/>
      <c r="I3" s="47"/>
      <c r="J3" s="48" t="s">
        <v>131</v>
      </c>
      <c r="K3" s="49"/>
      <c r="L3" s="49"/>
      <c r="M3" s="49"/>
      <c r="N3" s="49"/>
    </row>
    <row r="4" spans="1:14" x14ac:dyDescent="0.2">
      <c r="A4" s="43"/>
      <c r="B4" s="43"/>
      <c r="C4" s="43"/>
      <c r="D4" s="45"/>
      <c r="E4" s="45"/>
      <c r="F4" s="45"/>
      <c r="G4" s="47"/>
      <c r="H4" s="47"/>
      <c r="I4" s="47"/>
      <c r="J4" s="49"/>
      <c r="K4" s="49"/>
      <c r="L4" s="49"/>
      <c r="M4" s="49"/>
      <c r="N4" s="49"/>
    </row>
    <row r="5" spans="1:14" x14ac:dyDescent="0.2">
      <c r="A5" s="43"/>
      <c r="B5" s="43"/>
      <c r="C5" s="43"/>
      <c r="D5" s="45"/>
      <c r="E5" s="45"/>
      <c r="F5" s="45"/>
      <c r="G5" s="47"/>
      <c r="H5" s="47"/>
      <c r="I5" s="47"/>
      <c r="J5" s="49"/>
      <c r="K5" s="49"/>
      <c r="L5" s="49"/>
      <c r="M5" s="49"/>
      <c r="N5" s="49"/>
    </row>
    <row r="6" spans="1:14" ht="48" customHeight="1" x14ac:dyDescent="0.2">
      <c r="A6" s="43"/>
      <c r="B6" s="43"/>
      <c r="C6" s="43"/>
      <c r="D6" s="45"/>
      <c r="E6" s="45"/>
      <c r="F6" s="45"/>
      <c r="G6" s="47"/>
      <c r="H6" s="47"/>
      <c r="I6" s="47"/>
      <c r="J6" s="49"/>
      <c r="K6" s="49"/>
      <c r="L6" s="49"/>
      <c r="M6" s="49"/>
      <c r="N6" s="49"/>
    </row>
    <row r="8" spans="1:14" x14ac:dyDescent="0.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 x14ac:dyDescent="0.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 x14ac:dyDescent="0.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4" x14ac:dyDescent="0.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14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 x14ac:dyDescent="0.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x14ac:dyDescent="0.2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4" x14ac:dyDescent="0.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spans="1:14" x14ac:dyDescent="0.2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1:14" x14ac:dyDescent="0.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 spans="1:14" x14ac:dyDescent="0.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</row>
    <row r="21" spans="1:14" x14ac:dyDescent="0.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</row>
    <row r="22" spans="1:14" x14ac:dyDescent="0.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</row>
    <row r="24" spans="1:14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</row>
    <row r="25" spans="1:14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spans="1:14" x14ac:dyDescent="0.2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</row>
    <row r="27" spans="1:14" x14ac:dyDescent="0.2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 spans="1:14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</row>
    <row r="29" spans="1:14" x14ac:dyDescent="0.2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</row>
    <row r="30" spans="1:14" x14ac:dyDescent="0.2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</row>
    <row r="31" spans="1:14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</row>
    <row r="32" spans="1:14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</row>
    <row r="33" spans="1:14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</row>
    <row r="34" spans="1:14" x14ac:dyDescent="0.2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14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4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 x14ac:dyDescent="0.2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4" x14ac:dyDescent="0.2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4" ht="31" customHeight="1" x14ac:dyDescent="0.2">
      <c r="A39" s="40" t="s">
        <v>137</v>
      </c>
      <c r="B39" s="40"/>
      <c r="C39" s="40"/>
      <c r="D39" s="40"/>
      <c r="E39" s="40"/>
      <c r="F39" s="40"/>
      <c r="G39" s="40"/>
    </row>
    <row r="40" spans="1:14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</row>
    <row r="41" spans="1:14" x14ac:dyDescent="0.2">
      <c r="A41" s="3" t="s">
        <v>141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x14ac:dyDescent="0.2">
      <c r="A42" s="3" t="s">
        <v>142</v>
      </c>
      <c r="B42" s="3"/>
      <c r="C42" s="3"/>
      <c r="D42" s="3"/>
      <c r="E42" s="3"/>
      <c r="F42" s="3"/>
      <c r="G42" s="3"/>
      <c r="H42" s="3"/>
      <c r="I42" s="3"/>
    </row>
    <row r="43" spans="1:14" x14ac:dyDescent="0.2">
      <c r="A43" s="3" t="s">
        <v>143</v>
      </c>
      <c r="B43" s="3"/>
      <c r="C43" s="3"/>
      <c r="D43" s="3"/>
      <c r="E43" s="3"/>
      <c r="F43" s="3"/>
      <c r="G43" s="3"/>
      <c r="H43" s="3"/>
    </row>
    <row r="44" spans="1:14" x14ac:dyDescent="0.2">
      <c r="A44" s="3" t="s">
        <v>144</v>
      </c>
      <c r="B44" s="3"/>
      <c r="C44" s="3"/>
      <c r="D44" s="3"/>
      <c r="E44" s="3"/>
      <c r="F44" s="3"/>
      <c r="G44" s="3"/>
    </row>
  </sheetData>
  <mergeCells count="11">
    <mergeCell ref="A24:G38"/>
    <mergeCell ref="H24:N38"/>
    <mergeCell ref="A40:N40"/>
    <mergeCell ref="A39:G39"/>
    <mergeCell ref="A1:N1"/>
    <mergeCell ref="A3:C6"/>
    <mergeCell ref="D3:F6"/>
    <mergeCell ref="G3:I6"/>
    <mergeCell ref="J3:N6"/>
    <mergeCell ref="A8:G22"/>
    <mergeCell ref="H8:N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raw_fies</vt:lpstr>
      <vt:lpstr>clean_fies</vt:lpstr>
      <vt:lpstr>raw_ows_table2</vt:lpstr>
      <vt:lpstr>clean_ows_table</vt:lpstr>
      <vt:lpstr>region_lookup</vt:lpstr>
      <vt:lpstr>analysis_region_affordability_f</vt:lpstr>
      <vt:lpstr>analysis_region_affordability</vt:lpstr>
      <vt:lpstr>dashboard_data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Marielle Joy Vergara</dc:creator>
  <cp:lastModifiedBy>Marielle Joy Vergara</cp:lastModifiedBy>
  <dcterms:created xsi:type="dcterms:W3CDTF">2026-06-11T05:57:35Z</dcterms:created>
  <dcterms:modified xsi:type="dcterms:W3CDTF">2026-06-11T15:09:53Z</dcterms:modified>
</cp:coreProperties>
</file>